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119064060\Documents\Manutencao\"/>
    </mc:Choice>
  </mc:AlternateContent>
  <bookViews>
    <workbookView xWindow="0" yWindow="0" windowWidth="24000" windowHeight="9735"/>
  </bookViews>
  <sheets>
    <sheet name="CROQUI MODERNIZAÇÃO" sheetId="1" r:id="rId1"/>
    <sheet name="CAPA" sheetId="2" state="hidden" r:id="rId2"/>
    <sheet name="RELATORIO MEDIÇÃO" sheetId="3" state="hidden" r:id="rId3"/>
    <sheet name="RELATORIO DE MATERIAS" sheetId="4" state="hidden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D30" i="4" l="1"/>
  <c r="C30" i="4"/>
  <c r="C29" i="4"/>
  <c r="C28" i="4"/>
  <c r="F54" i="3"/>
  <c r="E54" i="3"/>
  <c r="D54" i="3"/>
  <c r="B54" i="3"/>
  <c r="C54" i="3" s="1"/>
  <c r="F53" i="3"/>
  <c r="E53" i="3"/>
  <c r="D53" i="3"/>
  <c r="B53" i="3"/>
  <c r="C53" i="3" s="1"/>
  <c r="F52" i="3"/>
  <c r="E52" i="3"/>
  <c r="D52" i="3"/>
  <c r="C52" i="3"/>
  <c r="B52" i="3"/>
  <c r="F51" i="3"/>
  <c r="E51" i="3"/>
  <c r="D51" i="3"/>
  <c r="B51" i="3"/>
  <c r="C51" i="3" s="1"/>
  <c r="F50" i="3"/>
  <c r="E50" i="3"/>
  <c r="C50" i="3" s="1"/>
  <c r="D50" i="3"/>
  <c r="B50" i="3"/>
  <c r="F49" i="3"/>
  <c r="E49" i="3"/>
  <c r="C49" i="3" s="1"/>
  <c r="D49" i="3"/>
  <c r="B49" i="3"/>
  <c r="F48" i="3"/>
  <c r="E48" i="3"/>
  <c r="D48" i="3"/>
  <c r="C48" i="3"/>
  <c r="B48" i="3"/>
  <c r="F47" i="3"/>
  <c r="E47" i="3"/>
  <c r="D47" i="3"/>
  <c r="B47" i="3"/>
  <c r="C47" i="3" s="1"/>
  <c r="F46" i="3"/>
  <c r="E46" i="3"/>
  <c r="C46" i="3" s="1"/>
  <c r="D46" i="3"/>
  <c r="B46" i="3"/>
  <c r="F45" i="3"/>
  <c r="E45" i="3"/>
  <c r="C45" i="3" s="1"/>
  <c r="D45" i="3"/>
  <c r="B45" i="3"/>
  <c r="F44" i="3"/>
  <c r="E44" i="3"/>
  <c r="D44" i="3"/>
  <c r="C44" i="3"/>
  <c r="B44" i="3"/>
  <c r="F43" i="3"/>
  <c r="E43" i="3"/>
  <c r="D43" i="3"/>
  <c r="B43" i="3"/>
  <c r="C43" i="3" s="1"/>
  <c r="F42" i="3"/>
  <c r="E42" i="3"/>
  <c r="C42" i="3" s="1"/>
  <c r="D42" i="3"/>
  <c r="B42" i="3"/>
  <c r="F41" i="3"/>
  <c r="E41" i="3"/>
  <c r="C41" i="3" s="1"/>
  <c r="D41" i="3"/>
  <c r="B41" i="3"/>
  <c r="F40" i="3"/>
  <c r="E40" i="3"/>
  <c r="D40" i="3"/>
  <c r="C40" i="3"/>
  <c r="B40" i="3"/>
  <c r="F39" i="3"/>
  <c r="E39" i="3"/>
  <c r="D39" i="3"/>
  <c r="B39" i="3"/>
  <c r="C39" i="3" s="1"/>
  <c r="F38" i="3"/>
  <c r="E38" i="3"/>
  <c r="C38" i="3" s="1"/>
  <c r="D38" i="3"/>
  <c r="B38" i="3"/>
  <c r="F37" i="3"/>
  <c r="E37" i="3"/>
  <c r="C37" i="3" s="1"/>
  <c r="D37" i="3"/>
  <c r="B37" i="3"/>
  <c r="F36" i="3"/>
  <c r="E36" i="3"/>
  <c r="D36" i="3"/>
  <c r="C36" i="3"/>
  <c r="B36" i="3"/>
  <c r="F35" i="3"/>
  <c r="E35" i="3"/>
  <c r="D35" i="3"/>
  <c r="B35" i="3"/>
  <c r="C35" i="3" s="1"/>
  <c r="F34" i="3"/>
  <c r="E34" i="3"/>
  <c r="C34" i="3" s="1"/>
  <c r="D34" i="3"/>
  <c r="B34" i="3"/>
  <c r="F33" i="3"/>
  <c r="E33" i="3"/>
  <c r="C33" i="3" s="1"/>
  <c r="D33" i="3"/>
  <c r="B33" i="3"/>
  <c r="F32" i="3"/>
  <c r="E32" i="3"/>
  <c r="D32" i="3"/>
  <c r="C32" i="3"/>
  <c r="B32" i="3"/>
  <c r="F31" i="3"/>
  <c r="E31" i="3"/>
  <c r="D31" i="3"/>
  <c r="B31" i="3"/>
  <c r="C31" i="3" s="1"/>
  <c r="F30" i="3"/>
  <c r="E30" i="3"/>
  <c r="C30" i="3" s="1"/>
  <c r="D30" i="3"/>
  <c r="B30" i="3"/>
  <c r="F29" i="3"/>
  <c r="E29" i="3"/>
  <c r="C29" i="3" s="1"/>
  <c r="D29" i="3"/>
  <c r="B29" i="3"/>
  <c r="F28" i="3"/>
  <c r="E28" i="3"/>
  <c r="D28" i="3"/>
  <c r="C28" i="3"/>
  <c r="B28" i="3"/>
  <c r="F27" i="3"/>
  <c r="E27" i="3"/>
  <c r="D27" i="3"/>
  <c r="B27" i="3"/>
  <c r="C27" i="3" s="1"/>
  <c r="F26" i="3"/>
  <c r="E26" i="3"/>
  <c r="C26" i="3" s="1"/>
  <c r="D26" i="3"/>
  <c r="B26" i="3"/>
  <c r="F25" i="3"/>
  <c r="E25" i="3"/>
  <c r="D25" i="3"/>
  <c r="B25" i="3"/>
  <c r="F24" i="3"/>
  <c r="E24" i="3"/>
  <c r="D24" i="3"/>
  <c r="B24" i="3"/>
  <c r="C24" i="3" s="1"/>
  <c r="F23" i="3"/>
  <c r="E23" i="3"/>
  <c r="D23" i="3"/>
  <c r="C23" i="3"/>
  <c r="B23" i="3"/>
  <c r="F22" i="3"/>
  <c r="E22" i="3"/>
  <c r="C22" i="3" s="1"/>
  <c r="D22" i="3"/>
  <c r="B22" i="3"/>
  <c r="F21" i="3"/>
  <c r="E21" i="3"/>
  <c r="C21" i="3" s="1"/>
  <c r="D21" i="3"/>
  <c r="B21" i="3"/>
  <c r="F20" i="3"/>
  <c r="E20" i="3"/>
  <c r="D20" i="3"/>
  <c r="B20" i="3"/>
  <c r="C20" i="3" s="1"/>
  <c r="F19" i="3"/>
  <c r="E19" i="3"/>
  <c r="D19" i="3"/>
  <c r="C19" i="3"/>
  <c r="B19" i="3"/>
  <c r="F18" i="3"/>
  <c r="E18" i="3"/>
  <c r="C18" i="3" s="1"/>
  <c r="D18" i="3"/>
  <c r="B18" i="3"/>
  <c r="F17" i="3"/>
  <c r="E17" i="3"/>
  <c r="C17" i="3" s="1"/>
  <c r="D17" i="3"/>
  <c r="B17" i="3"/>
  <c r="F16" i="3"/>
  <c r="E16" i="3"/>
  <c r="D16" i="3"/>
  <c r="B16" i="3"/>
  <c r="C16" i="3" s="1"/>
  <c r="F15" i="3"/>
  <c r="E15" i="3"/>
  <c r="D15" i="3"/>
  <c r="C15" i="3"/>
  <c r="B15" i="3"/>
  <c r="F14" i="3"/>
  <c r="E14" i="3"/>
  <c r="C14" i="3" s="1"/>
  <c r="D14" i="3"/>
  <c r="B14" i="3"/>
  <c r="F13" i="3"/>
  <c r="E13" i="3"/>
  <c r="C13" i="3" s="1"/>
  <c r="D13" i="3"/>
  <c r="B13" i="3"/>
  <c r="F12" i="3"/>
  <c r="E12" i="3"/>
  <c r="D12" i="3"/>
  <c r="B12" i="3"/>
  <c r="C12" i="3" s="1"/>
  <c r="F11" i="3"/>
  <c r="E11" i="3"/>
  <c r="D11" i="3"/>
  <c r="C11" i="3"/>
  <c r="B11" i="3"/>
  <c r="F10" i="3"/>
  <c r="E10" i="3"/>
  <c r="C10" i="3" s="1"/>
  <c r="D10" i="3"/>
  <c r="B10" i="3"/>
  <c r="F9" i="3"/>
  <c r="E9" i="3"/>
  <c r="C9" i="3" s="1"/>
  <c r="D9" i="3"/>
  <c r="B9" i="3"/>
  <c r="F8" i="3"/>
  <c r="E8" i="3"/>
  <c r="D8" i="3"/>
  <c r="B8" i="3"/>
  <c r="C8" i="3" s="1"/>
  <c r="F7" i="3"/>
  <c r="E7" i="3"/>
  <c r="D7" i="3"/>
  <c r="C7" i="3"/>
  <c r="B7" i="3"/>
  <c r="F6" i="3"/>
  <c r="E6" i="3"/>
  <c r="C6" i="3" s="1"/>
  <c r="D6" i="3"/>
  <c r="B6" i="3"/>
  <c r="F5" i="3"/>
  <c r="E5" i="3"/>
  <c r="C5" i="3" s="1"/>
  <c r="D5" i="3"/>
  <c r="B5" i="3"/>
  <c r="I30" i="2"/>
  <c r="G26" i="2"/>
  <c r="I26" i="2" s="1"/>
  <c r="G25" i="2"/>
  <c r="I25" i="2" s="1"/>
  <c r="G24" i="2"/>
  <c r="I24" i="2" s="1"/>
  <c r="G23" i="2"/>
  <c r="I23" i="2" s="1"/>
  <c r="I29" i="2" s="1"/>
  <c r="I31" i="2" s="1"/>
</calcChain>
</file>

<file path=xl/sharedStrings.xml><?xml version="1.0" encoding="utf-8"?>
<sst xmlns="http://schemas.openxmlformats.org/spreadsheetml/2006/main" count="151" uniqueCount="142">
  <si>
    <t>POSTE</t>
  </si>
  <si>
    <t>ENDEREÇO</t>
  </si>
  <si>
    <t>PTRO</t>
  </si>
  <si>
    <t>LOCALIDADE / CIDADE</t>
  </si>
  <si>
    <t>CAIXA DE EMENDA</t>
  </si>
  <si>
    <t xml:space="preserve">INFORMAÇÕES DA OR DE FIBRA </t>
  </si>
  <si>
    <t>OR / OT N°</t>
  </si>
  <si>
    <t>OBSERVAÇÕES</t>
  </si>
  <si>
    <t>EXECUTANTE</t>
  </si>
  <si>
    <t>UF</t>
  </si>
  <si>
    <t>CABO</t>
  </si>
  <si>
    <t>DDD</t>
  </si>
  <si>
    <t>MA</t>
  </si>
  <si>
    <t>PRIMARIA</t>
  </si>
  <si>
    <t>SS</t>
  </si>
  <si>
    <t>DESCRIÇÃO SERVIÇO</t>
  </si>
  <si>
    <t>CAUSA</t>
  </si>
  <si>
    <t>OBRA</t>
  </si>
  <si>
    <t>TA</t>
  </si>
  <si>
    <t>TRATATIVAS</t>
  </si>
  <si>
    <t xml:space="preserve">MATERIAIS </t>
  </si>
  <si>
    <t>NET</t>
  </si>
  <si>
    <t>ITEM</t>
  </si>
  <si>
    <t>QTDE</t>
  </si>
  <si>
    <t>PROTETOR EMENDA</t>
  </si>
  <si>
    <t>CONJUNTO DE EMENDA</t>
  </si>
  <si>
    <t>PONTO DE TERMINAÇÃO (PTRO)</t>
  </si>
  <si>
    <t>CABO DE 48 F.O</t>
  </si>
  <si>
    <t>CABO DE 36 F.O</t>
  </si>
  <si>
    <t xml:space="preserve">CABO DE 24 F.O </t>
  </si>
  <si>
    <t>CABO DE 12 F.O</t>
  </si>
  <si>
    <t>CABO DE 06 F.O</t>
  </si>
  <si>
    <t>CABO DE 04 F.O</t>
  </si>
  <si>
    <t>CABO DE 72 F.O</t>
  </si>
  <si>
    <t>ORDEM DE REDE</t>
  </si>
  <si>
    <t>Escritório</t>
  </si>
  <si>
    <t xml:space="preserve">  Localidade</t>
  </si>
  <si>
    <t>CT</t>
  </si>
  <si>
    <t>RP</t>
  </si>
  <si>
    <t>LG</t>
  </si>
  <si>
    <t xml:space="preserve">Data: </t>
  </si>
  <si>
    <t>Fibra Óptica</t>
  </si>
  <si>
    <t>Contratada:</t>
  </si>
  <si>
    <t xml:space="preserve">        Manutenção</t>
  </si>
  <si>
    <t>Tel  Telecomunicações Ltda.</t>
  </si>
  <si>
    <t>nº Contrato: 4100001314OP</t>
  </si>
  <si>
    <t xml:space="preserve"> FH 01 #3 SS03</t>
  </si>
  <si>
    <t>FTTX</t>
  </si>
  <si>
    <t xml:space="preserve">Nº  OR  SGCI </t>
  </si>
  <si>
    <t>PERÍODO DE MEDIÇÃO</t>
  </si>
  <si>
    <t>ATA</t>
  </si>
  <si>
    <t>ATIVIDADE</t>
  </si>
  <si>
    <t>Carteira</t>
  </si>
  <si>
    <t>MO PONTOS</t>
  </si>
  <si>
    <t>Execução</t>
  </si>
  <si>
    <t xml:space="preserve">CUSTOS </t>
  </si>
  <si>
    <t>Mão-de-Obra</t>
  </si>
  <si>
    <t>Custo MO</t>
  </si>
  <si>
    <t>Total</t>
  </si>
  <si>
    <t>Lfo</t>
  </si>
  <si>
    <t>Cfo</t>
  </si>
  <si>
    <t>G</t>
  </si>
  <si>
    <t>P</t>
  </si>
  <si>
    <t xml:space="preserve"> </t>
  </si>
  <si>
    <t>Total R$ (MO)</t>
  </si>
  <si>
    <t>ANDERSON JULIAN ESTEVÃO</t>
  </si>
  <si>
    <t>Total R$ (Mat)</t>
  </si>
  <si>
    <t>Responsável Fibra Óptica Tel</t>
  </si>
  <si>
    <t>CUSTO TOTAL</t>
  </si>
  <si>
    <t xml:space="preserve">   </t>
  </si>
  <si>
    <t>R. JOSE LUIZ NUNES FL</t>
  </si>
  <si>
    <t>DESCRIÇÃO DAS ATIVIDADES // CAUSA // MOTIVO // URGÊNCIA</t>
  </si>
  <si>
    <t>POU FIBRA FTTH- TROCA DE CAIXA RARE</t>
  </si>
  <si>
    <t>FTTH_11529LG_03-F#43_01</t>
  </si>
  <si>
    <t>Informações passadas por:                                                                                                  RE:</t>
  </si>
  <si>
    <t>ASS</t>
  </si>
  <si>
    <t xml:space="preserve">Informações passadas para:                                                                                   </t>
  </si>
  <si>
    <t>Coordenacao Tel ciente:</t>
  </si>
  <si>
    <t>Gestor Telefonica Ciente:                                                                        RE:</t>
  </si>
  <si>
    <t xml:space="preserve">João Ricardo Felisberto </t>
  </si>
  <si>
    <t>INSPEÇÃO</t>
  </si>
  <si>
    <t>Observações:</t>
  </si>
  <si>
    <t>INSPECIONADO</t>
  </si>
  <si>
    <t>NÃO INSPECIONADO</t>
  </si>
  <si>
    <t>AMAURI VACCHI PASSOS</t>
  </si>
  <si>
    <t>REINALDO RODRIGUES MARQUES</t>
  </si>
  <si>
    <t xml:space="preserve">GESTÃO -  </t>
  </si>
  <si>
    <t>GERÊNCIA DE MANUTENÇÃO E OPERAÇÃO DE REDE</t>
  </si>
  <si>
    <t>ADALBERTO BERTELI JUNIOR</t>
  </si>
  <si>
    <t>ALBERTO MIGUEL CORTEZ</t>
  </si>
  <si>
    <t>ANTONIO CLARET RIBEIRO</t>
  </si>
  <si>
    <t>GLAUCO ZAGO AQUINO OLIVEIRA</t>
  </si>
  <si>
    <t>MAURO RODRIGUES MOREIRA</t>
  </si>
  <si>
    <t>RELATORIO DE MEDIÇÃO</t>
  </si>
  <si>
    <t>REGIÃO</t>
  </si>
  <si>
    <t>SGCI</t>
  </si>
  <si>
    <t>Data Emissão:</t>
  </si>
  <si>
    <t>CÓDIGO</t>
  </si>
  <si>
    <t>PT</t>
  </si>
  <si>
    <t>TOT.</t>
  </si>
  <si>
    <t>L / C</t>
  </si>
  <si>
    <t>QT</t>
  </si>
  <si>
    <t>DESCRIÇÃO DA ATIVIDADE</t>
  </si>
  <si>
    <t>QTD</t>
  </si>
  <si>
    <t>MATERIAIS E EQUIPAMENTOS ENTREGUES PELA TELESP</t>
  </si>
  <si>
    <t>VAL. UNIT.</t>
  </si>
  <si>
    <t>CÓD.</t>
  </si>
  <si>
    <t>DESCRIÇÃO</t>
  </si>
  <si>
    <t>INSTALAÇÃO</t>
  </si>
  <si>
    <t>RETIRADA</t>
  </si>
  <si>
    <t>0186-0031-0</t>
  </si>
  <si>
    <t>DROP OPTICO PRE-C FIG8 COMP OPTITAP 100M</t>
  </si>
  <si>
    <t>0186-0034-4</t>
  </si>
  <si>
    <t>DROP OPTICO PRE-C FIG8 COMP OPTITAP 220M</t>
  </si>
  <si>
    <t>0186-0038-7</t>
  </si>
  <si>
    <t>DROP OPTICO PRE-C FIG8 COMP OPTITAP 300M</t>
  </si>
  <si>
    <t>0186-0030-1</t>
  </si>
  <si>
    <t>DROP OPTICO PRE-C FIG8 COMP OPTITAP 50M</t>
  </si>
  <si>
    <t>0186-0033-6</t>
  </si>
  <si>
    <t>DROP OPTICO PRE-C FIG8 COMP OPTITAP 150M</t>
  </si>
  <si>
    <t>0452-0020-3</t>
  </si>
  <si>
    <t>CABO FO CFOA-SM-DD-S-36 - TS</t>
  </si>
  <si>
    <t>0380-8805-3</t>
  </si>
  <si>
    <t>CTOP 8 CABO DROP COM SPLITTER 1:8</t>
  </si>
  <si>
    <t>0219-0028-0</t>
  </si>
  <si>
    <t>FIO ESPINAR ISOLADO REFORÇADO FEIR-125MM</t>
  </si>
  <si>
    <t>0380-8934-3</t>
  </si>
  <si>
    <t>CONECTOR OPT FAC SC/APC DROP FIGB COMPAC</t>
  </si>
  <si>
    <t>0258-0163-5</t>
  </si>
  <si>
    <t>PONTO TERMINAL DE REDE - OPTICO ( PTR-O )</t>
  </si>
  <si>
    <t>0460-0043-7</t>
  </si>
  <si>
    <t>KIT DERIVAÇAO ETK MODELO SOFS-12/72FO</t>
  </si>
  <si>
    <t>0186-0036-0</t>
  </si>
  <si>
    <t>DGOI CONECT MODULAR 144F - PAREDE</t>
  </si>
  <si>
    <t>0186-0010-7</t>
  </si>
  <si>
    <t>CAIXA DISP PT INT -CDOI-C</t>
  </si>
  <si>
    <t>0452-0093-9</t>
  </si>
  <si>
    <t>CABO CFOI-BLI-UB 24 LSZH MICROMODULO</t>
  </si>
  <si>
    <t>0486-0314-1</t>
  </si>
  <si>
    <t>SPLITER OPTICO 1:8 FIBRA NUA/SC-APC</t>
  </si>
  <si>
    <t>0256-0321-8</t>
  </si>
  <si>
    <t>CEIP- CAIXA DE EMENDA INTERNA DE PARDE 12F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</si>
</sst>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43" formatCode="_-* #,##0.00_-;\-* #,##0.00_-;_-* &quot;-&quot;??_-;_-@_-"/>
    <numFmt numFmtId="164" formatCode="00&quot;/&quot;00&quot;/&quot;0000;0;#"/>
    <numFmt numFmtId="165" formatCode="0.00_);\(0.00\)"/>
    <numFmt numFmtId="166" formatCode="&quot;R$&quot;#,##0.00"/>
    <numFmt numFmtId="167" formatCode="dd/mm/yy;@"/>
    <numFmt numFmtId="168" formatCode="_(* #,##0.0_);_(* \(#,##0.0\);_(* &quot;-&quot;??_);_(@_)"/>
    <numFmt numFmtId="169" formatCode="_(* #,##0.00_);_(* \(#,##0.00\);_(* &quot;-&quot;?_);_(@_)"/>
  </numFmts>
  <fonts count="39" x14ac:knownFonts="1">
    <font>
      <sz val="11"/>
      <color theme="1"/>
      <name val="Calibri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6"/>
      <name val="Arial"/>
      <family val="2"/>
    </font>
    <font>
      <b/>
      <sz val="18"/>
      <color indexed="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4"/>
      <color indexed="2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b/>
      <sz val="12"/>
      <color indexed="2"/>
      <name val="Arial"/>
      <family val="2"/>
    </font>
    <font>
      <b/>
      <u/>
      <sz val="14"/>
      <color indexed="2"/>
      <name val="Arial"/>
      <family val="2"/>
    </font>
    <font>
      <sz val="10"/>
      <name val="Tahoma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4"/>
      <name val="Arial"/>
      <family val="2"/>
    </font>
    <font>
      <b/>
      <i/>
      <sz val="8"/>
      <name val="Arial"/>
      <family val="2"/>
    </font>
    <font>
      <b/>
      <sz val="8"/>
      <color indexed="4"/>
      <name val="Book Antiqua"/>
      <family val="1"/>
    </font>
    <font>
      <b/>
      <sz val="8"/>
      <name val="Arial"/>
      <family val="2"/>
    </font>
    <font>
      <b/>
      <sz val="8"/>
      <color indexed="2"/>
      <name val="Book Antiqua"/>
      <family val="1"/>
    </font>
    <font>
      <sz val="8"/>
      <name val="Arial"/>
      <family val="2"/>
    </font>
    <font>
      <sz val="8"/>
      <color indexed="2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2060"/>
      </patternFill>
    </fill>
    <fill>
      <patternFill patternType="solid">
        <fgColor indexed="42"/>
      </patternFill>
    </fill>
    <fill>
      <patternFill patternType="solid">
        <fgColor indexed="65"/>
      </patternFill>
    </fill>
    <fill>
      <patternFill patternType="solid">
        <fgColor indexed="43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43" fontId="38" fillId="0" borderId="0"/>
  </cellStyleXfs>
  <cellXfs count="30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8" fillId="0" borderId="0" xfId="0" applyFont="1"/>
    <xf numFmtId="0" fontId="8" fillId="4" borderId="29" xfId="0" applyFont="1" applyFill="1" applyBorder="1" applyProtection="1">
      <protection locked="0"/>
    </xf>
    <xf numFmtId="0" fontId="9" fillId="4" borderId="30" xfId="0" applyFont="1" applyFill="1" applyBorder="1" applyAlignment="1" applyProtection="1">
      <alignment horizontal="center" vertical="center"/>
      <protection locked="0"/>
    </xf>
    <xf numFmtId="0" fontId="10" fillId="4" borderId="16" xfId="0" applyFont="1" applyFill="1" applyBorder="1" applyAlignment="1" applyProtection="1">
      <alignment horizontal="center" vertical="center"/>
      <protection locked="0"/>
    </xf>
    <xf numFmtId="0" fontId="10" fillId="4" borderId="31" xfId="0" applyFont="1" applyFill="1" applyBorder="1" applyAlignment="1" applyProtection="1">
      <alignment horizontal="center"/>
      <protection locked="0"/>
    </xf>
    <xf numFmtId="0" fontId="10" fillId="4" borderId="32" xfId="0" applyFont="1" applyFill="1" applyBorder="1" applyAlignment="1" applyProtection="1">
      <alignment horizontal="center"/>
      <protection locked="0"/>
    </xf>
    <xf numFmtId="0" fontId="10" fillId="4" borderId="30" xfId="0" applyFont="1" applyFill="1" applyBorder="1" applyAlignment="1" applyProtection="1">
      <alignment horizontal="center"/>
      <protection locked="0"/>
    </xf>
    <xf numFmtId="0" fontId="10" fillId="4" borderId="33" xfId="0" applyFont="1" applyFill="1" applyBorder="1" applyAlignment="1" applyProtection="1">
      <alignment horizontal="center"/>
      <protection locked="0"/>
    </xf>
    <xf numFmtId="0" fontId="8" fillId="4" borderId="34" xfId="0" applyFont="1" applyFill="1" applyBorder="1" applyProtection="1">
      <protection locked="0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10" fillId="5" borderId="16" xfId="0" applyFont="1" applyFill="1" applyBorder="1" applyAlignment="1" applyProtection="1">
      <alignment horizontal="center" vertical="center"/>
      <protection locked="0"/>
    </xf>
    <xf numFmtId="0" fontId="10" fillId="0" borderId="35" xfId="0" applyFont="1" applyBorder="1" applyAlignment="1" applyProtection="1">
      <alignment horizontal="center"/>
      <protection locked="0"/>
    </xf>
    <xf numFmtId="49" fontId="10" fillId="0" borderId="36" xfId="0" applyNumberFormat="1" applyFont="1" applyBorder="1" applyAlignment="1" applyProtection="1">
      <alignment horizontal="center"/>
      <protection locked="0"/>
    </xf>
    <xf numFmtId="0" fontId="10" fillId="4" borderId="4" xfId="0" applyFont="1" applyFill="1" applyBorder="1" applyAlignment="1" applyProtection="1">
      <alignment horizontal="center"/>
      <protection locked="0"/>
    </xf>
    <xf numFmtId="0" fontId="10" fillId="4" borderId="5" xfId="0" applyFont="1" applyFill="1" applyBorder="1" applyAlignment="1" applyProtection="1">
      <alignment horizontal="center"/>
      <protection locked="0"/>
    </xf>
    <xf numFmtId="0" fontId="14" fillId="4" borderId="4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vertical="center"/>
      <protection locked="0"/>
    </xf>
    <xf numFmtId="0" fontId="9" fillId="4" borderId="5" xfId="0" applyFont="1" applyFill="1" applyBorder="1" applyAlignment="1" applyProtection="1">
      <alignment vertical="center"/>
      <protection locked="0"/>
    </xf>
    <xf numFmtId="0" fontId="8" fillId="4" borderId="39" xfId="0" applyFont="1" applyFill="1" applyBorder="1" applyProtection="1">
      <protection locked="0"/>
    </xf>
    <xf numFmtId="0" fontId="9" fillId="4" borderId="6" xfId="0" applyFont="1" applyFill="1" applyBorder="1" applyAlignment="1" applyProtection="1">
      <alignment horizontal="center" vertical="center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0" fillId="4" borderId="6" xfId="0" applyFont="1" applyFill="1" applyBorder="1" applyAlignment="1" applyProtection="1">
      <alignment horizontal="center"/>
      <protection locked="0"/>
    </xf>
    <xf numFmtId="0" fontId="10" fillId="4" borderId="8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Protection="1">
      <protection locked="0"/>
    </xf>
    <xf numFmtId="0" fontId="8" fillId="4" borderId="0" xfId="0" applyFont="1" applyFill="1" applyProtection="1">
      <protection locked="0"/>
    </xf>
    <xf numFmtId="0" fontId="8" fillId="0" borderId="0" xfId="0" applyFont="1" applyProtection="1">
      <protection locked="0"/>
    </xf>
    <xf numFmtId="20" fontId="8" fillId="0" borderId="0" xfId="0" applyNumberFormat="1" applyFont="1" applyProtection="1">
      <protection locked="0"/>
    </xf>
    <xf numFmtId="0" fontId="8" fillId="0" borderId="5" xfId="0" applyFont="1" applyBorder="1" applyProtection="1">
      <protection locked="0"/>
    </xf>
    <xf numFmtId="14" fontId="8" fillId="0" borderId="0" xfId="0" applyNumberFormat="1" applyFont="1"/>
    <xf numFmtId="0" fontId="8" fillId="0" borderId="22" xfId="0" applyFont="1" applyBorder="1" applyProtection="1">
      <protection locked="0"/>
    </xf>
    <xf numFmtId="0" fontId="8" fillId="0" borderId="27" xfId="0" applyFont="1" applyBorder="1" applyProtection="1">
      <protection locked="0"/>
    </xf>
    <xf numFmtId="0" fontId="8" fillId="0" borderId="14" xfId="0" applyFont="1" applyBorder="1" applyProtection="1">
      <protection locked="0"/>
    </xf>
    <xf numFmtId="164" fontId="18" fillId="0" borderId="0" xfId="0" applyNumberFormat="1" applyFont="1" applyAlignment="1" applyProtection="1">
      <alignment horizontal="center" vertical="center"/>
      <protection locked="0"/>
    </xf>
    <xf numFmtId="0" fontId="19" fillId="4" borderId="0" xfId="0" applyFont="1" applyFill="1" applyProtection="1">
      <protection locked="0"/>
    </xf>
    <xf numFmtId="0" fontId="19" fillId="4" borderId="5" xfId="0" applyFont="1" applyFill="1" applyBorder="1" applyAlignment="1" applyProtection="1">
      <alignment horizontal="left" vertical="center" indent="3"/>
      <protection locked="0"/>
    </xf>
    <xf numFmtId="0" fontId="8" fillId="0" borderId="28" xfId="0" applyFont="1" applyBorder="1" applyProtection="1">
      <protection locked="0"/>
    </xf>
    <xf numFmtId="165" fontId="14" fillId="4" borderId="53" xfId="2" applyNumberFormat="1" applyFont="1" applyFill="1" applyBorder="1" applyAlignment="1" applyProtection="1">
      <alignment horizontal="center" vertical="center"/>
      <protection locked="0"/>
    </xf>
    <xf numFmtId="165" fontId="14" fillId="4" borderId="53" xfId="1" applyNumberFormat="1" applyFont="1" applyFill="1" applyBorder="1" applyAlignment="1" applyProtection="1">
      <alignment horizontal="center" vertical="center"/>
      <protection locked="0"/>
    </xf>
    <xf numFmtId="165" fontId="14" fillId="4" borderId="7" xfId="2" applyNumberFormat="1" applyFont="1" applyFill="1" applyBorder="1" applyAlignment="1" applyProtection="1">
      <alignment horizontal="center" vertical="center"/>
      <protection locked="0"/>
    </xf>
    <xf numFmtId="0" fontId="19" fillId="4" borderId="8" xfId="0" applyFont="1" applyFill="1" applyBorder="1" applyAlignment="1" applyProtection="1">
      <alignment horizontal="left" vertical="center" indent="3"/>
      <protection locked="0"/>
    </xf>
    <xf numFmtId="0" fontId="8" fillId="0" borderId="4" xfId="0" applyFont="1" applyBorder="1" applyProtection="1">
      <protection locked="0"/>
    </xf>
    <xf numFmtId="0" fontId="8" fillId="0" borderId="13" xfId="0" applyFont="1" applyBorder="1" applyProtection="1"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10" fillId="4" borderId="41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0" fontId="0" fillId="4" borderId="0" xfId="0" applyFill="1" applyAlignment="1" applyProtection="1">
      <alignment vertical="center"/>
      <protection locked="0"/>
    </xf>
    <xf numFmtId="166" fontId="10" fillId="4" borderId="16" xfId="0" applyNumberFormat="1" applyFont="1" applyFill="1" applyBorder="1" applyAlignment="1">
      <alignment horizontal="center"/>
    </xf>
    <xf numFmtId="166" fontId="10" fillId="4" borderId="44" xfId="0" applyNumberFormat="1" applyFont="1" applyFill="1" applyBorder="1" applyAlignment="1">
      <alignment horizontal="center"/>
    </xf>
    <xf numFmtId="166" fontId="10" fillId="4" borderId="51" xfId="0" applyNumberFormat="1" applyFont="1" applyFill="1" applyBorder="1" applyAlignment="1">
      <alignment horizontal="center"/>
    </xf>
    <xf numFmtId="166" fontId="10" fillId="4" borderId="58" xfId="0" applyNumberFormat="1" applyFont="1" applyFill="1" applyBorder="1" applyAlignment="1">
      <alignment horizontal="center"/>
    </xf>
    <xf numFmtId="0" fontId="0" fillId="0" borderId="30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166" fontId="9" fillId="4" borderId="59" xfId="0" applyNumberFormat="1" applyFont="1" applyFill="1" applyBorder="1" applyAlignment="1">
      <alignment horizontal="center" vertical="center"/>
    </xf>
    <xf numFmtId="166" fontId="9" fillId="4" borderId="62" xfId="0" applyNumberFormat="1" applyFont="1" applyFill="1" applyBorder="1" applyAlignment="1">
      <alignment horizontal="center" vertical="center"/>
    </xf>
    <xf numFmtId="166" fontId="9" fillId="4" borderId="39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 textRotation="90"/>
      <protection locked="0"/>
    </xf>
    <xf numFmtId="0" fontId="10" fillId="0" borderId="43" xfId="0" applyFont="1" applyBorder="1" applyAlignment="1" applyProtection="1">
      <alignment horizontal="left"/>
      <protection locked="0"/>
    </xf>
    <xf numFmtId="0" fontId="20" fillId="0" borderId="43" xfId="0" applyFont="1" applyBorder="1" applyAlignment="1" applyProtection="1">
      <alignment horizontal="left"/>
      <protection locked="0"/>
    </xf>
    <xf numFmtId="0" fontId="10" fillId="0" borderId="42" xfId="0" applyFont="1" applyBorder="1" applyAlignment="1" applyProtection="1">
      <alignment horizontal="left"/>
      <protection locked="0"/>
    </xf>
    <xf numFmtId="0" fontId="10" fillId="0" borderId="13" xfId="0" applyFont="1" applyBorder="1" applyAlignment="1" applyProtection="1">
      <alignment horizontal="left"/>
      <protection locked="0"/>
    </xf>
    <xf numFmtId="0" fontId="20" fillId="0" borderId="17" xfId="0" applyFont="1" applyBorder="1" applyAlignment="1" applyProtection="1">
      <alignment horizontal="left"/>
      <protection locked="0"/>
    </xf>
    <xf numFmtId="0" fontId="10" fillId="0" borderId="50" xfId="0" applyFont="1" applyBorder="1" applyAlignment="1" applyProtection="1">
      <alignment horizontal="left"/>
      <protection locked="0"/>
    </xf>
    <xf numFmtId="0" fontId="10" fillId="0" borderId="17" xfId="0" applyFont="1" applyBorder="1" applyAlignment="1" applyProtection="1">
      <alignment horizontal="left"/>
      <protection locked="0"/>
    </xf>
    <xf numFmtId="0" fontId="10" fillId="0" borderId="56" xfId="0" applyFont="1" applyBorder="1" applyAlignment="1" applyProtection="1">
      <alignment horizontal="left"/>
      <protection locked="0"/>
    </xf>
    <xf numFmtId="0" fontId="20" fillId="0" borderId="56" xfId="0" applyFont="1" applyBorder="1" applyAlignment="1" applyProtection="1">
      <alignment horizontal="left"/>
      <protection locked="0"/>
    </xf>
    <xf numFmtId="0" fontId="10" fillId="0" borderId="65" xfId="0" applyFont="1" applyBorder="1" applyAlignment="1" applyProtection="1">
      <alignment horizontal="left"/>
      <protection locked="0"/>
    </xf>
    <xf numFmtId="0" fontId="14" fillId="0" borderId="30" xfId="0" applyFont="1" applyBorder="1" applyProtection="1">
      <protection locked="0"/>
    </xf>
    <xf numFmtId="0" fontId="14" fillId="0" borderId="2" xfId="0" applyFont="1" applyBorder="1" applyProtection="1">
      <protection locked="0"/>
    </xf>
    <xf numFmtId="0" fontId="14" fillId="0" borderId="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4" xfId="0" applyFont="1" applyBorder="1" applyProtection="1">
      <protection locked="0"/>
    </xf>
    <xf numFmtId="0" fontId="23" fillId="0" borderId="0" xfId="0" applyFont="1" applyProtection="1">
      <protection locked="0"/>
    </xf>
    <xf numFmtId="0" fontId="23" fillId="0" borderId="5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14" fillId="0" borderId="7" xfId="0" applyFont="1" applyBorder="1" applyProtection="1">
      <protection locked="0"/>
    </xf>
    <xf numFmtId="0" fontId="8" fillId="0" borderId="7" xfId="0" applyFont="1" applyBorder="1" applyProtection="1">
      <protection locked="0"/>
    </xf>
    <xf numFmtId="0" fontId="14" fillId="0" borderId="8" xfId="0" applyFont="1" applyBorder="1" applyProtection="1">
      <protection locked="0"/>
    </xf>
    <xf numFmtId="0" fontId="8" fillId="6" borderId="30" xfId="0" applyFont="1" applyFill="1" applyBorder="1"/>
    <xf numFmtId="0" fontId="8" fillId="6" borderId="2" xfId="0" applyFont="1" applyFill="1" applyBorder="1"/>
    <xf numFmtId="0" fontId="8" fillId="6" borderId="3" xfId="0" applyFont="1" applyFill="1" applyBorder="1"/>
    <xf numFmtId="0" fontId="8" fillId="6" borderId="4" xfId="0" applyFont="1" applyFill="1" applyBorder="1"/>
    <xf numFmtId="0" fontId="8" fillId="6" borderId="0" xfId="0" applyFont="1" applyFill="1"/>
    <xf numFmtId="0" fontId="8" fillId="6" borderId="5" xfId="0" applyFont="1" applyFill="1" applyBorder="1"/>
    <xf numFmtId="0" fontId="8" fillId="6" borderId="6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49" fontId="31" fillId="6" borderId="16" xfId="0" applyNumberFormat="1" applyFont="1" applyFill="1" applyBorder="1" applyAlignment="1" applyProtection="1">
      <alignment horizontal="center"/>
      <protection locked="0"/>
    </xf>
    <xf numFmtId="0" fontId="32" fillId="6" borderId="16" xfId="0" applyFont="1" applyFill="1" applyBorder="1" applyAlignment="1" applyProtection="1">
      <alignment horizontal="left" shrinkToFit="1"/>
      <protection locked="0"/>
    </xf>
    <xf numFmtId="0" fontId="31" fillId="6" borderId="16" xfId="0" applyFont="1" applyFill="1" applyBorder="1" applyAlignment="1" applyProtection="1">
      <alignment horizontal="center"/>
      <protection locked="0"/>
    </xf>
    <xf numFmtId="0" fontId="32" fillId="6" borderId="16" xfId="0" applyFont="1" applyFill="1" applyBorder="1" applyProtection="1">
      <protection locked="0"/>
    </xf>
    <xf numFmtId="167" fontId="33" fillId="6" borderId="16" xfId="0" applyNumberFormat="1" applyFont="1" applyFill="1" applyBorder="1" applyAlignment="1" applyProtection="1">
      <alignment horizontal="center"/>
      <protection locked="0"/>
    </xf>
    <xf numFmtId="0" fontId="32" fillId="4" borderId="16" xfId="0" applyFont="1" applyFill="1" applyBorder="1" applyAlignment="1" applyProtection="1">
      <alignment horizontal="center"/>
      <protection locked="0"/>
    </xf>
    <xf numFmtId="0" fontId="32" fillId="4" borderId="18" xfId="0" applyFont="1" applyFill="1" applyBorder="1" applyAlignment="1" applyProtection="1">
      <alignment horizontal="center"/>
      <protection locked="0"/>
    </xf>
    <xf numFmtId="0" fontId="32" fillId="0" borderId="16" xfId="0" applyFont="1" applyBorder="1" applyAlignment="1" applyProtection="1">
      <alignment horizontal="center"/>
      <protection locked="0"/>
    </xf>
    <xf numFmtId="43" fontId="34" fillId="6" borderId="16" xfId="2" applyNumberFormat="1" applyFont="1" applyFill="1" applyBorder="1" applyAlignment="1" applyProtection="1">
      <alignment horizontal="center"/>
      <protection hidden="1"/>
    </xf>
    <xf numFmtId="43" fontId="34" fillId="6" borderId="16" xfId="0" applyNumberFormat="1" applyFont="1" applyFill="1" applyBorder="1" applyAlignment="1" applyProtection="1">
      <alignment horizontal="center"/>
      <protection hidden="1"/>
    </xf>
    <xf numFmtId="0" fontId="34" fillId="6" borderId="16" xfId="0" applyFont="1" applyFill="1" applyBorder="1" applyAlignment="1" applyProtection="1">
      <alignment horizontal="center"/>
      <protection hidden="1"/>
    </xf>
    <xf numFmtId="1" fontId="34" fillId="5" borderId="12" xfId="0" applyNumberFormat="1" applyFont="1" applyFill="1" applyBorder="1" applyAlignment="1" applyProtection="1">
      <alignment horizontal="center"/>
      <protection locked="0"/>
    </xf>
    <xf numFmtId="0" fontId="34" fillId="5" borderId="16" xfId="0" applyFont="1" applyFill="1" applyBorder="1" applyAlignment="1" applyProtection="1">
      <alignment horizontal="center"/>
      <protection locked="0"/>
    </xf>
    <xf numFmtId="1" fontId="34" fillId="5" borderId="16" xfId="0" applyNumberFormat="1" applyFont="1" applyFill="1" applyBorder="1" applyAlignment="1" applyProtection="1">
      <alignment horizontal="center"/>
      <protection locked="0"/>
    </xf>
    <xf numFmtId="43" fontId="34" fillId="6" borderId="16" xfId="2" applyNumberFormat="1" applyFont="1" applyFill="1" applyBorder="1" applyAlignment="1" applyProtection="1">
      <alignment horizontal="right"/>
      <protection hidden="1"/>
    </xf>
    <xf numFmtId="0" fontId="34" fillId="0" borderId="16" xfId="0" applyFont="1" applyBorder="1" applyAlignment="1" applyProtection="1">
      <alignment horizontal="center"/>
      <protection locked="0"/>
    </xf>
    <xf numFmtId="43" fontId="35" fillId="6" borderId="16" xfId="0" applyNumberFormat="1" applyFont="1" applyFill="1" applyBorder="1" applyAlignment="1" applyProtection="1">
      <alignment horizontal="center"/>
      <protection hidden="1"/>
    </xf>
    <xf numFmtId="43" fontId="35" fillId="6" borderId="16" xfId="0" applyNumberFormat="1" applyFont="1" applyFill="1" applyBorder="1" applyAlignment="1" applyProtection="1">
      <alignment horizontal="right"/>
      <protection hidden="1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32" fillId="4" borderId="12" xfId="0" applyFont="1" applyFill="1" applyBorder="1" applyAlignment="1">
      <alignment horizontal="center"/>
    </xf>
    <xf numFmtId="168" fontId="32" fillId="4" borderId="12" xfId="2" applyNumberFormat="1" applyFont="1" applyFill="1" applyBorder="1" applyAlignment="1">
      <alignment horizontal="center"/>
    </xf>
    <xf numFmtId="43" fontId="34" fillId="6" borderId="45" xfId="2" applyNumberFormat="1" applyFont="1" applyFill="1" applyBorder="1" applyAlignment="1" applyProtection="1">
      <alignment horizontal="center"/>
      <protection hidden="1"/>
    </xf>
    <xf numFmtId="49" fontId="27" fillId="0" borderId="16" xfId="0" applyNumberFormat="1" applyFont="1" applyBorder="1" applyAlignment="1">
      <alignment horizontal="center"/>
    </xf>
    <xf numFmtId="169" fontId="34" fillId="6" borderId="12" xfId="2" applyNumberFormat="1" applyFont="1" applyFill="1" applyBorder="1" applyAlignment="1" applyProtection="1">
      <alignment horizontal="center"/>
      <protection hidden="1"/>
    </xf>
    <xf numFmtId="43" fontId="34" fillId="0" borderId="12" xfId="2" applyNumberFormat="1" applyFont="1" applyBorder="1" applyAlignment="1" applyProtection="1">
      <alignment horizontal="center" vertical="center"/>
      <protection locked="0"/>
    </xf>
    <xf numFmtId="43" fontId="34" fillId="0" borderId="12" xfId="2" applyNumberFormat="1" applyFont="1" applyBorder="1" applyAlignment="1" applyProtection="1">
      <alignment horizontal="center"/>
      <protection locked="0"/>
    </xf>
    <xf numFmtId="43" fontId="34" fillId="0" borderId="16" xfId="2" applyNumberFormat="1" applyFont="1" applyBorder="1" applyAlignment="1" applyProtection="1">
      <alignment horizontal="center"/>
      <protection locked="0"/>
    </xf>
    <xf numFmtId="49" fontId="34" fillId="0" borderId="16" xfId="0" applyNumberFormat="1" applyFont="1" applyBorder="1" applyAlignment="1">
      <alignment horizontal="center"/>
    </xf>
    <xf numFmtId="41" fontId="34" fillId="0" borderId="16" xfId="2" applyNumberFormat="1" applyFont="1" applyBorder="1" applyAlignment="1" applyProtection="1">
      <alignment horizontal="center"/>
      <protection locked="0"/>
    </xf>
    <xf numFmtId="43" fontId="34" fillId="6" borderId="45" xfId="2" applyNumberFormat="1" applyFont="1" applyFill="1" applyBorder="1" applyAlignment="1" applyProtection="1">
      <alignment horizontal="right"/>
      <protection hidden="1"/>
    </xf>
    <xf numFmtId="49" fontId="1" fillId="0" borderId="16" xfId="0" applyNumberFormat="1" applyFont="1" applyBorder="1"/>
    <xf numFmtId="0" fontId="37" fillId="6" borderId="49" xfId="0" applyFont="1" applyFill="1" applyBorder="1" applyAlignment="1" applyProtection="1">
      <alignment horizontal="left" shrinkToFit="1"/>
      <protection hidden="1"/>
    </xf>
    <xf numFmtId="0" fontId="37" fillId="6" borderId="17" xfId="0" applyFont="1" applyFill="1" applyBorder="1" applyAlignment="1" applyProtection="1">
      <alignment horizontal="left" shrinkToFit="1"/>
      <protection hidden="1"/>
    </xf>
    <xf numFmtId="0" fontId="37" fillId="6" borderId="18" xfId="0" applyFont="1" applyFill="1" applyBorder="1" applyAlignment="1" applyProtection="1">
      <alignment horizontal="left" shrinkToFit="1"/>
      <protection hidden="1"/>
    </xf>
    <xf numFmtId="41" fontId="35" fillId="0" borderId="16" xfId="2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2" xfId="0" applyFont="1" applyBorder="1"/>
    <xf numFmtId="0" fontId="3" fillId="0" borderId="0" xfId="0" applyFont="1" applyAlignment="1">
      <alignment horizontal="center" vertical="center" wrapText="1"/>
    </xf>
    <xf numFmtId="0" fontId="4" fillId="0" borderId="7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6" fillId="0" borderId="11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3" fillId="2" borderId="16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3" fillId="0" borderId="19" xfId="0" applyFont="1" applyBorder="1" applyAlignment="1">
      <alignment horizontal="center" vertical="center" wrapText="1"/>
    </xf>
    <xf numFmtId="0" fontId="4" fillId="0" borderId="20" xfId="0" applyFont="1" applyBorder="1"/>
    <xf numFmtId="0" fontId="3" fillId="2" borderId="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13" xfId="0" applyFont="1" applyBorder="1"/>
    <xf numFmtId="0" fontId="6" fillId="0" borderId="14" xfId="0" applyFont="1" applyBorder="1"/>
    <xf numFmtId="0" fontId="3" fillId="2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14" fillId="0" borderId="4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0" borderId="66" xfId="0" applyFont="1" applyBorder="1" applyAlignment="1" applyProtection="1">
      <alignment horizontal="left"/>
      <protection locked="0"/>
    </xf>
    <xf numFmtId="0" fontId="0" fillId="0" borderId="17" xfId="0" applyBorder="1" applyProtection="1">
      <protection locked="0"/>
    </xf>
    <xf numFmtId="0" fontId="14" fillId="0" borderId="64" xfId="0" applyFont="1" applyBorder="1" applyAlignment="1" applyProtection="1">
      <alignment horizontal="center" vertical="center"/>
      <protection locked="0"/>
    </xf>
    <xf numFmtId="0" fontId="0" fillId="0" borderId="56" xfId="0" applyBorder="1" applyProtection="1">
      <protection locked="0"/>
    </xf>
    <xf numFmtId="0" fontId="0" fillId="0" borderId="65" xfId="0" applyBorder="1" applyProtection="1">
      <protection locked="0"/>
    </xf>
    <xf numFmtId="0" fontId="14" fillId="0" borderId="10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0" fontId="0" fillId="0" borderId="7" xfId="0" applyBorder="1" applyProtection="1">
      <protection locked="0"/>
    </xf>
    <xf numFmtId="0" fontId="11" fillId="4" borderId="41" xfId="0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14" xfId="0" applyBorder="1" applyProtection="1">
      <protection locked="0"/>
    </xf>
    <xf numFmtId="0" fontId="22" fillId="0" borderId="56" xfId="0" applyFont="1" applyBorder="1" applyProtection="1">
      <protection locked="0"/>
    </xf>
    <xf numFmtId="0" fontId="9" fillId="4" borderId="59" xfId="0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locked="0"/>
    </xf>
    <xf numFmtId="0" fontId="0" fillId="0" borderId="42" xfId="0" applyBorder="1" applyProtection="1">
      <protection locked="0"/>
    </xf>
    <xf numFmtId="0" fontId="10" fillId="0" borderId="47" xfId="0" applyFont="1" applyBorder="1" applyProtection="1">
      <protection locked="0"/>
    </xf>
    <xf numFmtId="0" fontId="10" fillId="4" borderId="1" xfId="0" applyFont="1" applyFill="1" applyBorder="1" applyAlignment="1" applyProtection="1">
      <alignment horizontal="center" vertical="center" textRotation="90"/>
      <protection locked="0"/>
    </xf>
    <xf numFmtId="0" fontId="0" fillId="0" borderId="34" xfId="0" applyBorder="1" applyProtection="1">
      <protection locked="0"/>
    </xf>
    <xf numFmtId="0" fontId="0" fillId="0" borderId="39" xfId="0" applyBorder="1" applyProtection="1"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8" fillId="0" borderId="64" xfId="0" applyFont="1" applyBorder="1" applyAlignment="1" applyProtection="1">
      <alignment horizontal="left" vertical="center"/>
      <protection locked="0"/>
    </xf>
    <xf numFmtId="0" fontId="9" fillId="4" borderId="39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0" fillId="0" borderId="61" xfId="0" applyBorder="1"/>
    <xf numFmtId="164" fontId="18" fillId="0" borderId="50" xfId="0" applyNumberFormat="1" applyFont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9" fillId="4" borderId="15" xfId="0" applyFont="1" applyFill="1" applyBorder="1" applyAlignment="1" applyProtection="1">
      <alignment horizontal="center"/>
      <protection locked="0"/>
    </xf>
    <xf numFmtId="0" fontId="8" fillId="4" borderId="35" xfId="0" applyFont="1" applyFill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52" xfId="0" applyBorder="1" applyProtection="1">
      <protection locked="0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10" fillId="4" borderId="21" xfId="0" applyFont="1" applyFill="1" applyBorder="1" applyAlignment="1">
      <alignment horizontal="center"/>
    </xf>
    <xf numFmtId="0" fontId="0" fillId="0" borderId="43" xfId="0" applyBorder="1"/>
    <xf numFmtId="0" fontId="0" fillId="0" borderId="54" xfId="0" applyBorder="1"/>
    <xf numFmtId="2" fontId="10" fillId="4" borderId="16" xfId="0" applyNumberFormat="1" applyFont="1" applyFill="1" applyBorder="1" applyAlignment="1">
      <alignment horizontal="center"/>
    </xf>
    <xf numFmtId="0" fontId="0" fillId="0" borderId="18" xfId="0" applyBorder="1"/>
    <xf numFmtId="0" fontId="11" fillId="4" borderId="37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0" fillId="0" borderId="13" xfId="0" applyBorder="1" applyProtection="1">
      <protection locked="0"/>
    </xf>
    <xf numFmtId="0" fontId="10" fillId="4" borderId="55" xfId="0" applyFont="1" applyFill="1" applyBorder="1" applyAlignment="1">
      <alignment horizontal="center"/>
    </xf>
    <xf numFmtId="0" fontId="0" fillId="0" borderId="17" xfId="0" applyBorder="1"/>
    <xf numFmtId="0" fontId="16" fillId="4" borderId="51" xfId="0" applyFont="1" applyFill="1" applyBorder="1" applyAlignment="1" applyProtection="1">
      <alignment horizontal="center"/>
      <protection locked="0"/>
    </xf>
    <xf numFmtId="0" fontId="0" fillId="0" borderId="28" xfId="0" applyBorder="1" applyProtection="1">
      <protection locked="0"/>
    </xf>
    <xf numFmtId="14" fontId="16" fillId="4" borderId="39" xfId="0" applyNumberFormat="1" applyFont="1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14" fontId="12" fillId="0" borderId="39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14" fontId="15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14" fontId="13" fillId="4" borderId="29" xfId="0" applyNumberFormat="1" applyFont="1" applyFill="1" applyBorder="1" applyAlignment="1" applyProtection="1">
      <alignment horizontal="center" vertical="center"/>
      <protection locked="0"/>
    </xf>
    <xf numFmtId="0" fontId="9" fillId="4" borderId="41" xfId="0" applyFont="1" applyFill="1" applyBorder="1" applyAlignment="1" applyProtection="1">
      <alignment horizontal="center" vertical="center"/>
      <protection locked="0"/>
    </xf>
    <xf numFmtId="164" fontId="18" fillId="0" borderId="49" xfId="0" applyNumberFormat="1" applyFont="1" applyBorder="1" applyAlignment="1" applyProtection="1">
      <alignment horizontal="center" vertical="center"/>
      <protection locked="0"/>
    </xf>
    <xf numFmtId="0" fontId="14" fillId="4" borderId="44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20" fillId="4" borderId="7" xfId="0" applyFont="1" applyFill="1" applyBorder="1" applyAlignment="1" applyProtection="1">
      <alignment horizontal="left" vertical="center"/>
      <protection locked="0"/>
    </xf>
    <xf numFmtId="0" fontId="15" fillId="4" borderId="46" xfId="0" applyFont="1" applyFill="1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9" fillId="4" borderId="34" xfId="0" applyFont="1" applyFill="1" applyBorder="1" applyAlignment="1" applyProtection="1">
      <alignment horizontal="center" vertical="center"/>
      <protection locked="0"/>
    </xf>
    <xf numFmtId="0" fontId="8" fillId="4" borderId="40" xfId="0" applyFont="1" applyFill="1" applyBorder="1" applyProtection="1">
      <protection locked="0"/>
    </xf>
    <xf numFmtId="0" fontId="14" fillId="4" borderId="42" xfId="0" applyFont="1" applyFill="1" applyBorder="1" applyAlignment="1" applyProtection="1">
      <alignment horizontal="center"/>
      <protection locked="0"/>
    </xf>
    <xf numFmtId="0" fontId="9" fillId="4" borderId="48" xfId="0" applyFont="1" applyFill="1" applyBorder="1" applyAlignment="1" applyProtection="1">
      <alignment horizontal="center" vertical="center"/>
      <protection locked="0"/>
    </xf>
    <xf numFmtId="0" fontId="17" fillId="0" borderId="44" xfId="0" applyFont="1" applyBorder="1" applyAlignment="1" applyProtection="1">
      <alignment horizontal="center" vertical="center"/>
      <protection locked="0"/>
    </xf>
    <xf numFmtId="0" fontId="14" fillId="0" borderId="63" xfId="0" applyFont="1" applyBorder="1" applyAlignment="1" applyProtection="1">
      <alignment horizontal="center"/>
      <protection locked="0"/>
    </xf>
    <xf numFmtId="0" fontId="0" fillId="0" borderId="50" xfId="0" applyBorder="1" applyProtection="1">
      <protection locked="0"/>
    </xf>
    <xf numFmtId="0" fontId="9" fillId="4" borderId="40" xfId="0" applyFont="1" applyFill="1" applyBorder="1" applyAlignment="1">
      <alignment horizontal="center" vertical="center"/>
    </xf>
    <xf numFmtId="0" fontId="22" fillId="0" borderId="1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0" fillId="0" borderId="66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10" fillId="4" borderId="24" xfId="0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10" fillId="0" borderId="40" xfId="0" applyFont="1" applyBorder="1" applyProtection="1">
      <protection locked="0"/>
    </xf>
    <xf numFmtId="2" fontId="10" fillId="4" borderId="12" xfId="0" applyNumberFormat="1" applyFont="1" applyFill="1" applyBorder="1" applyAlignment="1">
      <alignment horizontal="center"/>
    </xf>
    <xf numFmtId="0" fontId="0" fillId="0" borderId="14" xfId="0" applyBorder="1"/>
    <xf numFmtId="0" fontId="21" fillId="0" borderId="34" xfId="0" applyFont="1" applyBorder="1" applyAlignment="1" applyProtection="1">
      <alignment horizontal="center" vertical="center"/>
      <protection locked="0"/>
    </xf>
    <xf numFmtId="49" fontId="14" fillId="0" borderId="63" xfId="0" applyNumberFormat="1" applyFont="1" applyBorder="1" applyAlignment="1" applyProtection="1">
      <alignment horizontal="center"/>
      <protection locked="0"/>
    </xf>
    <xf numFmtId="0" fontId="14" fillId="0" borderId="63" xfId="0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/>
      <protection locked="0"/>
    </xf>
    <xf numFmtId="0" fontId="8" fillId="4" borderId="47" xfId="0" applyFont="1" applyFill="1" applyBorder="1" applyProtection="1">
      <protection locked="0"/>
    </xf>
    <xf numFmtId="0" fontId="22" fillId="0" borderId="13" xfId="0" applyFont="1" applyBorder="1" applyProtection="1">
      <protection locked="0"/>
    </xf>
    <xf numFmtId="0" fontId="10" fillId="4" borderId="54" xfId="0" applyFont="1" applyFill="1" applyBorder="1" applyAlignment="1">
      <alignment horizontal="center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Protection="1"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25" fillId="0" borderId="5" xfId="0" applyFont="1" applyBorder="1" applyAlignment="1" applyProtection="1">
      <alignment horizontal="center" vertical="center" shrinkToFit="1"/>
      <protection locked="0"/>
    </xf>
    <xf numFmtId="0" fontId="22" fillId="0" borderId="43" xfId="0" applyFont="1" applyBorder="1" applyProtection="1"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34" fillId="6" borderId="16" xfId="0" applyFont="1" applyFill="1" applyBorder="1" applyAlignment="1" applyProtection="1">
      <alignment horizontal="center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9" fillId="0" borderId="16" xfId="0" applyFont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0" fontId="30" fillId="6" borderId="16" xfId="0" applyFont="1" applyFill="1" applyBorder="1" applyAlignment="1" applyProtection="1">
      <alignment horizontal="center"/>
      <protection locked="0"/>
    </xf>
    <xf numFmtId="0" fontId="32" fillId="4" borderId="16" xfId="0" applyFont="1" applyFill="1" applyBorder="1" applyAlignment="1" applyProtection="1">
      <alignment horizontal="center"/>
      <protection locked="0"/>
    </xf>
    <xf numFmtId="0" fontId="36" fillId="0" borderId="16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15" xfId="0" applyBorder="1"/>
    <xf numFmtId="0" fontId="27" fillId="0" borderId="0" xfId="0" applyFont="1" applyAlignment="1">
      <alignment horizontal="center"/>
    </xf>
    <xf numFmtId="0" fontId="0" fillId="0" borderId="27" xfId="0" applyBorder="1"/>
    <xf numFmtId="0" fontId="0" fillId="0" borderId="45" xfId="0" applyBorder="1"/>
    <xf numFmtId="0" fontId="0" fillId="0" borderId="13" xfId="0" applyBorder="1"/>
    <xf numFmtId="0" fontId="34" fillId="6" borderId="16" xfId="0" applyFont="1" applyFill="1" applyBorder="1" applyAlignment="1" applyProtection="1">
      <alignment horizontal="center" shrinkToFit="1"/>
      <protection hidden="1"/>
    </xf>
    <xf numFmtId="168" fontId="32" fillId="4" borderId="12" xfId="2" applyNumberFormat="1" applyFont="1" applyFill="1" applyBorder="1" applyAlignment="1">
      <alignment horizontal="center"/>
    </xf>
    <xf numFmtId="0" fontId="34" fillId="6" borderId="12" xfId="0" applyFont="1" applyFill="1" applyBorder="1" applyAlignment="1" applyProtection="1">
      <alignment horizontal="center" shrinkToFit="1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</cellXfs>
  <cellStyles count="3">
    <cellStyle name="Normal" xfId="0" builtinId="0"/>
    <cellStyle name="Separador de milhares 2 2" xfId="1"/>
    <cellStyle name="Vírgula" xfId="2" builtinId="3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517070</xdr:colOff>
      <xdr:row>6</xdr:row>
      <xdr:rowOff>1</xdr:rowOff>
    </xdr:from>
    <xdr:to>
      <xdr:col>13</xdr:col>
      <xdr:colOff>408214</xdr:colOff>
      <xdr:row>11</xdr:row>
      <xdr:rowOff>136073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37" t="-58421" r="1029" b="43062"/>
        <a:stretch/>
      </xdr:blipFill>
      <xdr:spPr bwMode="auto">
        <a:xfrm>
          <a:off x="4980213" y="1020537"/>
          <a:ext cx="5048251" cy="952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33333</xdr:colOff>
      <xdr:row>1</xdr:row>
      <xdr:rowOff>106382</xdr:rowOff>
    </xdr:from>
    <xdr:to>
      <xdr:col>20</xdr:col>
      <xdr:colOff>510449</xdr:colOff>
      <xdr:row>7</xdr:row>
      <xdr:rowOff>80529</xdr:rowOff>
    </xdr:to>
    <xdr:pic>
      <xdr:nvPicPr>
        <xdr:cNvPr id="146" name="Imagem 145"/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11619197" y="279564"/>
          <a:ext cx="2493818" cy="9439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190501</xdr:colOff>
      <xdr:row>24</xdr:row>
      <xdr:rowOff>140513</xdr:rowOff>
    </xdr:from>
    <xdr:to>
      <xdr:col>4</xdr:col>
      <xdr:colOff>949653</xdr:colOff>
      <xdr:row>31</xdr:row>
      <xdr:rowOff>34636</xdr:rowOff>
    </xdr:to>
    <xdr:pic>
      <xdr:nvPicPr>
        <xdr:cNvPr id="3" name="Imagem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2326822" y="4100193"/>
          <a:ext cx="1317046" cy="12140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502228</xdr:colOff>
      <xdr:row>1</xdr:row>
      <xdr:rowOff>155863</xdr:rowOff>
    </xdr:from>
    <xdr:to>
      <xdr:col>3</xdr:col>
      <xdr:colOff>455222</xdr:colOff>
      <xdr:row>7</xdr:row>
      <xdr:rowOff>71870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692728" y="329045"/>
          <a:ext cx="1905000" cy="8858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536864</xdr:colOff>
      <xdr:row>8</xdr:row>
      <xdr:rowOff>103908</xdr:rowOff>
    </xdr:from>
    <xdr:to>
      <xdr:col>2</xdr:col>
      <xdr:colOff>739735</xdr:colOff>
      <xdr:row>16</xdr:row>
      <xdr:rowOff>110259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/>
      </xdr:blipFill>
      <xdr:spPr bwMode="auto">
        <a:xfrm>
          <a:off x="727364" y="1402772"/>
          <a:ext cx="1246910" cy="12469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502226</xdr:colOff>
      <xdr:row>8</xdr:row>
      <xdr:rowOff>152398</xdr:rowOff>
    </xdr:from>
    <xdr:to>
      <xdr:col>19</xdr:col>
      <xdr:colOff>300759</xdr:colOff>
      <xdr:row>16</xdr:row>
      <xdr:rowOff>152399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/>
      </xdr:blipFill>
      <xdr:spPr bwMode="auto">
        <a:xfrm flipH="1">
          <a:off x="12088090" y="1451262"/>
          <a:ext cx="1264228" cy="12469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762000</xdr:colOff>
      <xdr:row>15</xdr:row>
      <xdr:rowOff>0</xdr:rowOff>
    </xdr:from>
    <xdr:to>
      <xdr:col>18</xdr:col>
      <xdr:colOff>544286</xdr:colOff>
      <xdr:row>19</xdr:row>
      <xdr:rowOff>150662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19692"/>
        <a:stretch/>
      </xdr:blipFill>
      <xdr:spPr bwMode="auto">
        <a:xfrm>
          <a:off x="952500" y="2490107"/>
          <a:ext cx="12722679" cy="8038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484911</xdr:colOff>
      <xdr:row>32</xdr:row>
      <xdr:rowOff>103908</xdr:rowOff>
    </xdr:from>
    <xdr:to>
      <xdr:col>4</xdr:col>
      <xdr:colOff>473943</xdr:colOff>
      <xdr:row>35</xdr:row>
      <xdr:rowOff>112568</xdr:rowOff>
    </xdr:to>
    <xdr:pic>
      <xdr:nvPicPr>
        <xdr:cNvPr id="16" name="Imagem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tretch/>
      </xdr:blipFill>
      <xdr:spPr bwMode="auto">
        <a:xfrm>
          <a:off x="2372593" y="5437908"/>
          <a:ext cx="536864" cy="57063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19</xdr:col>
      <xdr:colOff>34638</xdr:colOff>
      <xdr:row>24</xdr:row>
      <xdr:rowOff>161380</xdr:rowOff>
    </xdr:from>
    <xdr:to>
      <xdr:col>19</xdr:col>
      <xdr:colOff>321253</xdr:colOff>
      <xdr:row>28</xdr:row>
      <xdr:rowOff>130464</xdr:rowOff>
    </xdr:to>
    <xdr:pic>
      <xdr:nvPicPr>
        <xdr:cNvPr id="18" name="Imagem 17"/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/>
      </xdr:blipFill>
      <xdr:spPr bwMode="auto">
        <a:xfrm>
          <a:off x="13723424" y="4121059"/>
          <a:ext cx="286615" cy="69026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54429</xdr:colOff>
      <xdr:row>9</xdr:row>
      <xdr:rowOff>154123</xdr:rowOff>
    </xdr:from>
    <xdr:to>
      <xdr:col>7</xdr:col>
      <xdr:colOff>772760</xdr:colOff>
      <xdr:row>17</xdr:row>
      <xdr:rowOff>61852</xdr:rowOff>
    </xdr:to>
    <xdr:pic>
      <xdr:nvPicPr>
        <xdr:cNvPr id="44" name="Imagem 4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4517572" y="1664516"/>
          <a:ext cx="1317045" cy="12140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7</xdr:col>
      <xdr:colOff>506186</xdr:colOff>
      <xdr:row>10</xdr:row>
      <xdr:rowOff>7165</xdr:rowOff>
    </xdr:from>
    <xdr:to>
      <xdr:col>9</xdr:col>
      <xdr:colOff>353659</xdr:colOff>
      <xdr:row>17</xdr:row>
      <xdr:rowOff>78180</xdr:rowOff>
    </xdr:to>
    <xdr:pic>
      <xdr:nvPicPr>
        <xdr:cNvPr id="45" name="Imagem 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5568043" y="1680844"/>
          <a:ext cx="1317045" cy="12140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9</xdr:col>
      <xdr:colOff>87084</xdr:colOff>
      <xdr:row>9</xdr:row>
      <xdr:rowOff>159566</xdr:rowOff>
    </xdr:from>
    <xdr:to>
      <xdr:col>11</xdr:col>
      <xdr:colOff>97844</xdr:colOff>
      <xdr:row>17</xdr:row>
      <xdr:rowOff>67295</xdr:rowOff>
    </xdr:to>
    <xdr:pic>
      <xdr:nvPicPr>
        <xdr:cNvPr id="46" name="Imagem 4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6618513" y="1669959"/>
          <a:ext cx="1317045" cy="12140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10</xdr:col>
      <xdr:colOff>620485</xdr:colOff>
      <xdr:row>9</xdr:row>
      <xdr:rowOff>148680</xdr:rowOff>
    </xdr:from>
    <xdr:to>
      <xdr:col>12</xdr:col>
      <xdr:colOff>318280</xdr:colOff>
      <xdr:row>17</xdr:row>
      <xdr:rowOff>56409</xdr:rowOff>
    </xdr:to>
    <xdr:pic>
      <xdr:nvPicPr>
        <xdr:cNvPr id="48" name="Imagem 4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7709806" y="1659073"/>
          <a:ext cx="1317045" cy="12140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12</xdr:col>
      <xdr:colOff>255814</xdr:colOff>
      <xdr:row>10</xdr:row>
      <xdr:rowOff>1723</xdr:rowOff>
    </xdr:from>
    <xdr:to>
      <xdr:col>14</xdr:col>
      <xdr:colOff>8037</xdr:colOff>
      <xdr:row>17</xdr:row>
      <xdr:rowOff>72738</xdr:rowOff>
    </xdr:to>
    <xdr:pic>
      <xdr:nvPicPr>
        <xdr:cNvPr id="49" name="Imagem 4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8964385" y="1675402"/>
          <a:ext cx="1317045" cy="12140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7</xdr:col>
      <xdr:colOff>487651</xdr:colOff>
      <xdr:row>13</xdr:row>
      <xdr:rowOff>96485</xdr:rowOff>
    </xdr:from>
    <xdr:to>
      <xdr:col>7</xdr:col>
      <xdr:colOff>751115</xdr:colOff>
      <xdr:row>15</xdr:row>
      <xdr:rowOff>28960</xdr:rowOff>
    </xdr:to>
    <xdr:pic>
      <xdr:nvPicPr>
        <xdr:cNvPr id="50" name="Imagem 49"/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5549508" y="2260021"/>
          <a:ext cx="263464" cy="259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82157</xdr:colOff>
      <xdr:row>13</xdr:row>
      <xdr:rowOff>85600</xdr:rowOff>
    </xdr:from>
    <xdr:to>
      <xdr:col>9</xdr:col>
      <xdr:colOff>345621</xdr:colOff>
      <xdr:row>15</xdr:row>
      <xdr:rowOff>18075</xdr:rowOff>
    </xdr:to>
    <xdr:pic>
      <xdr:nvPicPr>
        <xdr:cNvPr id="51" name="Imagem 50"/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6613586" y="2249136"/>
          <a:ext cx="263464" cy="259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561129</xdr:colOff>
      <xdr:row>13</xdr:row>
      <xdr:rowOff>115536</xdr:rowOff>
    </xdr:from>
    <xdr:to>
      <xdr:col>11</xdr:col>
      <xdr:colOff>76200</xdr:colOff>
      <xdr:row>15</xdr:row>
      <xdr:rowOff>48011</xdr:rowOff>
    </xdr:to>
    <xdr:pic>
      <xdr:nvPicPr>
        <xdr:cNvPr id="52" name="Imagem 51"/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7650450" y="2279072"/>
          <a:ext cx="263464" cy="259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101208</xdr:colOff>
      <xdr:row>13</xdr:row>
      <xdr:rowOff>145472</xdr:rowOff>
    </xdr:from>
    <xdr:to>
      <xdr:col>12</xdr:col>
      <xdr:colOff>364672</xdr:colOff>
      <xdr:row>15</xdr:row>
      <xdr:rowOff>77947</xdr:rowOff>
    </xdr:to>
    <xdr:pic>
      <xdr:nvPicPr>
        <xdr:cNvPr id="53" name="Imagem 52"/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8809779" y="2309008"/>
          <a:ext cx="263464" cy="259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413163</xdr:colOff>
      <xdr:row>10</xdr:row>
      <xdr:rowOff>158337</xdr:rowOff>
    </xdr:from>
    <xdr:to>
      <xdr:col>7</xdr:col>
      <xdr:colOff>361374</xdr:colOff>
      <xdr:row>14</xdr:row>
      <xdr:rowOff>85355</xdr:rowOff>
    </xdr:to>
    <xdr:pic>
      <xdr:nvPicPr>
        <xdr:cNvPr id="54" name="Imagem 5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tretch/>
      </xdr:blipFill>
      <xdr:spPr bwMode="auto">
        <a:xfrm>
          <a:off x="4876306" y="1832016"/>
          <a:ext cx="546925" cy="58016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12</xdr:col>
      <xdr:colOff>633600</xdr:colOff>
      <xdr:row>11</xdr:row>
      <xdr:rowOff>52202</xdr:rowOff>
    </xdr:from>
    <xdr:to>
      <xdr:col>13</xdr:col>
      <xdr:colOff>268846</xdr:colOff>
      <xdr:row>14</xdr:row>
      <xdr:rowOff>142505</xdr:rowOff>
    </xdr:to>
    <xdr:pic>
      <xdr:nvPicPr>
        <xdr:cNvPr id="55" name="Imagem 5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tretch/>
      </xdr:blipFill>
      <xdr:spPr bwMode="auto">
        <a:xfrm>
          <a:off x="9342171" y="1889166"/>
          <a:ext cx="546925" cy="58016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</xdr:row>
      <xdr:rowOff>200025</xdr:rowOff>
    </xdr:from>
    <xdr:to>
      <xdr:col>0</xdr:col>
      <xdr:colOff>1209675</xdr:colOff>
      <xdr:row>5</xdr:row>
      <xdr:rowOff>171450</xdr:rowOff>
    </xdr:to>
    <xdr:pic>
      <xdr:nvPicPr>
        <xdr:cNvPr id="2" name="Picture 22" descr="logo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6675" y="885825"/>
          <a:ext cx="1143000" cy="428625"/>
        </a:xfrm>
        <a:prstGeom prst="rect">
          <a:avLst/>
        </a:prstGeom>
        <a:solidFill>
          <a:srgbClr val="000000"/>
        </a:solidFill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1651000</xdr:colOff>
      <xdr:row>15</xdr:row>
      <xdr:rowOff>38100</xdr:rowOff>
    </xdr:from>
    <xdr:to>
      <xdr:col>3</xdr:col>
      <xdr:colOff>63500</xdr:colOff>
      <xdr:row>17</xdr:row>
      <xdr:rowOff>212725</xdr:rowOff>
    </xdr:to>
    <xdr:pic>
      <xdr:nvPicPr>
        <xdr:cNvPr id="19" name="Imagem 29" descr="Assinatura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r="68817" b="19192"/>
        <a:stretch/>
      </xdr:blipFill>
      <xdr:spPr bwMode="auto">
        <a:xfrm>
          <a:off x="1651000" y="3381375"/>
          <a:ext cx="1565275" cy="9175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/Desktop/01-BACKUP%2520%252015-07-2021/00-GESTAO%2520OBRAS/MODELO%2520CROQUI/FTTX/CLEAN%2520UP%2520%2520FIBRA%2520MODERNIZA&#199;AO%2520FTTA%2520-%2520RPO_LG-1710001016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MEDIÇÃO"/>
      <sheetName val="Relação_BAL"/>
      <sheetName val="CÓDIGO DE PONTOS"/>
      <sheetName val="NET"/>
      <sheetName val="ENVELOPE"/>
      <sheetName val="FOTOS CROQUI-1"/>
      <sheetName val="CROQUI 1"/>
      <sheetName val="FOTOS CROQUI-2"/>
      <sheetName val="CROQUI-2"/>
      <sheetName val="CROQUI-3"/>
      <sheetName val="Plan1"/>
      <sheetName val="CLEAN UP  FIBRA MODERNIZAÇAO FT"/>
    </sheetNames>
    <sheetDataSet>
      <sheetData sheetId="0"/>
      <sheetData sheetId="1">
        <row r="82">
          <cell r="D82" t="e">
            <v>#REF!</v>
          </cell>
        </row>
        <row r="83">
          <cell r="D83" t="e">
            <v>#REF!</v>
          </cell>
          <cell r="M83" t="e">
            <v>#REF!</v>
          </cell>
        </row>
        <row r="84">
          <cell r="D84" t="e">
            <v>#REF!</v>
          </cell>
        </row>
        <row r="85">
          <cell r="D85" t="e">
            <v>#REF!</v>
          </cell>
        </row>
      </sheetData>
      <sheetData sheetId="2"/>
      <sheetData sheetId="3"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</row>
        <row r="8">
          <cell r="A8" t="e">
            <v>#REF!</v>
          </cell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</row>
        <row r="497">
          <cell r="A497" t="e">
            <v>#REF!</v>
          </cell>
          <cell r="B497" t="e">
            <v>#REF!</v>
          </cell>
          <cell r="C497" t="e">
            <v>#REF!</v>
          </cell>
          <cell r="D497" t="e">
            <v>#REF!</v>
          </cell>
        </row>
        <row r="498">
          <cell r="A498" t="e">
            <v>#REF!</v>
          </cell>
          <cell r="B498" t="e">
            <v>#REF!</v>
          </cell>
          <cell r="C498" t="e">
            <v>#REF!</v>
          </cell>
          <cell r="D498" t="e">
            <v>#REF!</v>
          </cell>
        </row>
        <row r="499">
          <cell r="A499" t="e">
            <v>#REF!</v>
          </cell>
          <cell r="B499" t="e">
            <v>#REF!</v>
          </cell>
          <cell r="C499" t="e">
            <v>#REF!</v>
          </cell>
          <cell r="D499" t="e">
            <v>#REF!</v>
          </cell>
        </row>
        <row r="500">
          <cell r="A500" t="e">
            <v>#REF!</v>
          </cell>
          <cell r="B500" t="e">
            <v>#REF!</v>
          </cell>
          <cell r="C500" t="e">
            <v>#REF!</v>
          </cell>
          <cell r="D500" t="e">
            <v>#REF!</v>
          </cell>
        </row>
        <row r="501">
          <cell r="A501" t="e">
            <v>#REF!</v>
          </cell>
          <cell r="B501" t="e">
            <v>#REF!</v>
          </cell>
          <cell r="C501" t="e">
            <v>#REF!</v>
          </cell>
          <cell r="D501" t="e">
            <v>#REF!</v>
          </cell>
        </row>
        <row r="502">
          <cell r="A502" t="e">
            <v>#REF!</v>
          </cell>
          <cell r="B502" t="e">
            <v>#REF!</v>
          </cell>
          <cell r="C502" t="e">
            <v>#REF!</v>
          </cell>
          <cell r="D502" t="e">
            <v>#REF!</v>
          </cell>
        </row>
        <row r="503">
          <cell r="A503" t="e">
            <v>#REF!</v>
          </cell>
          <cell r="B503" t="e">
            <v>#REF!</v>
          </cell>
          <cell r="C503" t="e">
            <v>#REF!</v>
          </cell>
          <cell r="D503" t="e">
            <v>#REF!</v>
          </cell>
        </row>
        <row r="504">
          <cell r="A504" t="e">
            <v>#REF!</v>
          </cell>
          <cell r="B504" t="e">
            <v>#REF!</v>
          </cell>
          <cell r="C504" t="e">
            <v>#REF!</v>
          </cell>
          <cell r="D504" t="e">
            <v>#REF!</v>
          </cell>
        </row>
        <row r="505">
          <cell r="A505" t="e">
            <v>#REF!</v>
          </cell>
          <cell r="B505" t="e">
            <v>#REF!</v>
          </cell>
          <cell r="C505" t="e">
            <v>#REF!</v>
          </cell>
          <cell r="D505" t="e">
            <v>#REF!</v>
          </cell>
        </row>
        <row r="506">
          <cell r="A506" t="e">
            <v>#REF!</v>
          </cell>
          <cell r="B506" t="e">
            <v>#REF!</v>
          </cell>
          <cell r="C506" t="e">
            <v>#REF!</v>
          </cell>
          <cell r="D506" t="e">
            <v>#REF!</v>
          </cell>
        </row>
        <row r="507">
          <cell r="A507" t="e">
            <v>#REF!</v>
          </cell>
          <cell r="B507" t="e">
            <v>#REF!</v>
          </cell>
          <cell r="C507" t="e">
            <v>#REF!</v>
          </cell>
          <cell r="D507" t="e">
            <v>#REF!</v>
          </cell>
        </row>
        <row r="508">
          <cell r="A508" t="e">
            <v>#REF!</v>
          </cell>
          <cell r="B508" t="e">
            <v>#REF!</v>
          </cell>
          <cell r="C508" t="e">
            <v>#REF!</v>
          </cell>
          <cell r="D508" t="e">
            <v>#REF!</v>
          </cell>
        </row>
        <row r="509">
          <cell r="A509" t="e">
            <v>#REF!</v>
          </cell>
          <cell r="B509" t="e">
            <v>#REF!</v>
          </cell>
          <cell r="C509" t="e">
            <v>#REF!</v>
          </cell>
          <cell r="D509" t="e">
            <v>#REF!</v>
          </cell>
        </row>
        <row r="510">
          <cell r="A510" t="e">
            <v>#REF!</v>
          </cell>
          <cell r="B510" t="e">
            <v>#REF!</v>
          </cell>
          <cell r="C510" t="e">
            <v>#REF!</v>
          </cell>
          <cell r="D510" t="e">
            <v>#REF!</v>
          </cell>
        </row>
        <row r="511">
          <cell r="A511" t="e">
            <v>#REF!</v>
          </cell>
          <cell r="B511" t="e">
            <v>#REF!</v>
          </cell>
          <cell r="C511" t="e">
            <v>#REF!</v>
          </cell>
          <cell r="D511" t="e">
            <v>#REF!</v>
          </cell>
        </row>
        <row r="512">
          <cell r="A512" t="e">
            <v>#REF!</v>
          </cell>
          <cell r="B512" t="e">
            <v>#REF!</v>
          </cell>
          <cell r="C512" t="e">
            <v>#REF!</v>
          </cell>
          <cell r="D512" t="e">
            <v>#REF!</v>
          </cell>
        </row>
        <row r="513">
          <cell r="A513" t="e">
            <v>#REF!</v>
          </cell>
          <cell r="B513" t="e">
            <v>#REF!</v>
          </cell>
          <cell r="C513" t="e">
            <v>#REF!</v>
          </cell>
          <cell r="D513" t="e">
            <v>#REF!</v>
          </cell>
        </row>
        <row r="514">
          <cell r="A514" t="e">
            <v>#REF!</v>
          </cell>
          <cell r="B514" t="e">
            <v>#REF!</v>
          </cell>
          <cell r="C514" t="e">
            <v>#REF!</v>
          </cell>
          <cell r="D514" t="e">
            <v>#REF!</v>
          </cell>
        </row>
        <row r="515">
          <cell r="A515" t="e">
            <v>#REF!</v>
          </cell>
          <cell r="B515" t="e">
            <v>#REF!</v>
          </cell>
          <cell r="C515" t="e">
            <v>#REF!</v>
          </cell>
          <cell r="D515" t="e">
            <v>#REF!</v>
          </cell>
        </row>
        <row r="516">
          <cell r="A516" t="e">
            <v>#REF!</v>
          </cell>
          <cell r="B516" t="e">
            <v>#REF!</v>
          </cell>
          <cell r="C516" t="e">
            <v>#REF!</v>
          </cell>
          <cell r="D516" t="e">
            <v>#REF!</v>
          </cell>
        </row>
        <row r="517">
          <cell r="A517" t="e">
            <v>#REF!</v>
          </cell>
          <cell r="B517" t="e">
            <v>#REF!</v>
          </cell>
          <cell r="C517" t="e">
            <v>#REF!</v>
          </cell>
          <cell r="D517" t="e">
            <v>#REF!</v>
          </cell>
        </row>
        <row r="518">
          <cell r="A518" t="e">
            <v>#REF!</v>
          </cell>
          <cell r="B518" t="e">
            <v>#REF!</v>
          </cell>
          <cell r="C518" t="e">
            <v>#REF!</v>
          </cell>
          <cell r="D518" t="e">
            <v>#REF!</v>
          </cell>
        </row>
        <row r="519">
          <cell r="A519" t="e">
            <v>#REF!</v>
          </cell>
          <cell r="B519" t="e">
            <v>#REF!</v>
          </cell>
          <cell r="C519" t="e">
            <v>#REF!</v>
          </cell>
          <cell r="D519" t="e">
            <v>#REF!</v>
          </cell>
        </row>
        <row r="520">
          <cell r="A520" t="e">
            <v>#REF!</v>
          </cell>
          <cell r="B520" t="e">
            <v>#REF!</v>
          </cell>
          <cell r="C520" t="e">
            <v>#REF!</v>
          </cell>
          <cell r="D520" t="e">
            <v>#REF!</v>
          </cell>
        </row>
        <row r="521">
          <cell r="A521" t="e">
            <v>#REF!</v>
          </cell>
          <cell r="B521" t="e">
            <v>#REF!</v>
          </cell>
          <cell r="C521" t="e">
            <v>#REF!</v>
          </cell>
          <cell r="D521" t="e">
            <v>#REF!</v>
          </cell>
        </row>
        <row r="522">
          <cell r="A522" t="e">
            <v>#REF!</v>
          </cell>
          <cell r="B522" t="e">
            <v>#REF!</v>
          </cell>
          <cell r="C522" t="e">
            <v>#REF!</v>
          </cell>
          <cell r="D522" t="e">
            <v>#REF!</v>
          </cell>
        </row>
        <row r="523">
          <cell r="A523" t="e">
            <v>#REF!</v>
          </cell>
          <cell r="B523" t="e">
            <v>#REF!</v>
          </cell>
          <cell r="C523" t="e">
            <v>#REF!</v>
          </cell>
          <cell r="D523" t="e">
            <v>#REF!</v>
          </cell>
        </row>
        <row r="524">
          <cell r="A524" t="e">
            <v>#REF!</v>
          </cell>
          <cell r="B524" t="e">
            <v>#REF!</v>
          </cell>
          <cell r="C524" t="e">
            <v>#REF!</v>
          </cell>
          <cell r="D524" t="e">
            <v>#REF!</v>
          </cell>
        </row>
        <row r="525">
          <cell r="A525" t="e">
            <v>#REF!</v>
          </cell>
          <cell r="B525" t="e">
            <v>#REF!</v>
          </cell>
          <cell r="C525" t="e">
            <v>#REF!</v>
          </cell>
          <cell r="D525" t="e">
            <v>#REF!</v>
          </cell>
        </row>
        <row r="526">
          <cell r="A526" t="e">
            <v>#REF!</v>
          </cell>
          <cell r="B526" t="e">
            <v>#REF!</v>
          </cell>
          <cell r="C526" t="e">
            <v>#REF!</v>
          </cell>
          <cell r="D526" t="e">
            <v>#REF!</v>
          </cell>
        </row>
        <row r="527">
          <cell r="A527" t="e">
            <v>#REF!</v>
          </cell>
          <cell r="B527" t="e">
            <v>#REF!</v>
          </cell>
          <cell r="C527" t="e">
            <v>#REF!</v>
          </cell>
          <cell r="D527" t="e">
            <v>#REF!</v>
          </cell>
        </row>
        <row r="528">
          <cell r="A528" t="e">
            <v>#REF!</v>
          </cell>
          <cell r="B528" t="e">
            <v>#REF!</v>
          </cell>
          <cell r="C528" t="e">
            <v>#REF!</v>
          </cell>
          <cell r="D528" t="e">
            <v>#REF!</v>
          </cell>
        </row>
        <row r="529">
          <cell r="A529" t="e">
            <v>#REF!</v>
          </cell>
          <cell r="B529" t="e">
            <v>#REF!</v>
          </cell>
          <cell r="C529" t="e">
            <v>#REF!</v>
          </cell>
          <cell r="D529" t="e">
            <v>#REF!</v>
          </cell>
        </row>
        <row r="530">
          <cell r="A530" t="e">
            <v>#REF!</v>
          </cell>
          <cell r="B530" t="e">
            <v>#REF!</v>
          </cell>
          <cell r="C530" t="e">
            <v>#REF!</v>
          </cell>
          <cell r="D530" t="e">
            <v>#REF!</v>
          </cell>
        </row>
        <row r="531">
          <cell r="A531" t="e">
            <v>#REF!</v>
          </cell>
          <cell r="B531" t="e">
            <v>#REF!</v>
          </cell>
          <cell r="C531" t="e">
            <v>#REF!</v>
          </cell>
          <cell r="D531" t="e">
            <v>#REF!</v>
          </cell>
        </row>
        <row r="532">
          <cell r="A532" t="e">
            <v>#REF!</v>
          </cell>
          <cell r="B532" t="e">
            <v>#REF!</v>
          </cell>
          <cell r="C532" t="e">
            <v>#REF!</v>
          </cell>
          <cell r="D532" t="e">
            <v>#REF!</v>
          </cell>
        </row>
        <row r="533">
          <cell r="A533" t="e">
            <v>#REF!</v>
          </cell>
          <cell r="B533" t="e">
            <v>#REF!</v>
          </cell>
          <cell r="C533" t="e">
            <v>#REF!</v>
          </cell>
          <cell r="D533" t="e">
            <v>#REF!</v>
          </cell>
        </row>
        <row r="534">
          <cell r="A534" t="e">
            <v>#REF!</v>
          </cell>
          <cell r="B534" t="e">
            <v>#REF!</v>
          </cell>
          <cell r="C534" t="e">
            <v>#REF!</v>
          </cell>
          <cell r="D534" t="e">
            <v>#REF!</v>
          </cell>
        </row>
        <row r="535">
          <cell r="A535" t="e">
            <v>#REF!</v>
          </cell>
          <cell r="B535" t="e">
            <v>#REF!</v>
          </cell>
          <cell r="C535" t="e">
            <v>#REF!</v>
          </cell>
          <cell r="D535" t="e">
            <v>#REF!</v>
          </cell>
        </row>
        <row r="536">
          <cell r="A536" t="e">
            <v>#REF!</v>
          </cell>
          <cell r="B536" t="e">
            <v>#REF!</v>
          </cell>
          <cell r="C536" t="e">
            <v>#REF!</v>
          </cell>
          <cell r="D536" t="e">
            <v>#REF!</v>
          </cell>
        </row>
        <row r="537">
          <cell r="A537" t="e">
            <v>#REF!</v>
          </cell>
          <cell r="B537" t="e">
            <v>#REF!</v>
          </cell>
          <cell r="C537" t="e">
            <v>#REF!</v>
          </cell>
          <cell r="D537" t="e">
            <v>#REF!</v>
          </cell>
        </row>
        <row r="538">
          <cell r="A538" t="e">
            <v>#REF!</v>
          </cell>
          <cell r="B538" t="e">
            <v>#REF!</v>
          </cell>
          <cell r="C538" t="e">
            <v>#REF!</v>
          </cell>
          <cell r="D538" t="e">
            <v>#REF!</v>
          </cell>
        </row>
        <row r="539">
          <cell r="A539" t="e">
            <v>#REF!</v>
          </cell>
          <cell r="B539" t="e">
            <v>#REF!</v>
          </cell>
          <cell r="C539" t="e">
            <v>#REF!</v>
          </cell>
          <cell r="D539" t="e">
            <v>#REF!</v>
          </cell>
        </row>
        <row r="540">
          <cell r="A540" t="e">
            <v>#REF!</v>
          </cell>
          <cell r="B540" t="e">
            <v>#REF!</v>
          </cell>
          <cell r="C540" t="e">
            <v>#REF!</v>
          </cell>
          <cell r="D540" t="e">
            <v>#REF!</v>
          </cell>
        </row>
        <row r="541">
          <cell r="A541" t="e">
            <v>#REF!</v>
          </cell>
          <cell r="B541" t="e">
            <v>#REF!</v>
          </cell>
          <cell r="C541" t="e">
            <v>#REF!</v>
          </cell>
          <cell r="D541" t="e">
            <v>#REF!</v>
          </cell>
        </row>
        <row r="542">
          <cell r="A542" t="e">
            <v>#REF!</v>
          </cell>
          <cell r="B542" t="e">
            <v>#REF!</v>
          </cell>
          <cell r="C542" t="e">
            <v>#REF!</v>
          </cell>
          <cell r="D542" t="e">
            <v>#REF!</v>
          </cell>
        </row>
        <row r="543">
          <cell r="A543" t="e">
            <v>#REF!</v>
          </cell>
          <cell r="B543" t="e">
            <v>#REF!</v>
          </cell>
          <cell r="C543" t="e">
            <v>#REF!</v>
          </cell>
          <cell r="D543" t="e">
            <v>#REF!</v>
          </cell>
        </row>
        <row r="544">
          <cell r="A544" t="e">
            <v>#REF!</v>
          </cell>
          <cell r="B544" t="e">
            <v>#REF!</v>
          </cell>
          <cell r="C544" t="e">
            <v>#REF!</v>
          </cell>
          <cell r="D544" t="e">
            <v>#REF!</v>
          </cell>
        </row>
        <row r="545">
          <cell r="A545" t="e">
            <v>#REF!</v>
          </cell>
          <cell r="B545" t="e">
            <v>#REF!</v>
          </cell>
          <cell r="C545" t="e">
            <v>#REF!</v>
          </cell>
          <cell r="D545" t="e">
            <v>#REF!</v>
          </cell>
        </row>
        <row r="546">
          <cell r="A546" t="e">
            <v>#REF!</v>
          </cell>
          <cell r="B546" t="e">
            <v>#REF!</v>
          </cell>
          <cell r="C546" t="e">
            <v>#REF!</v>
          </cell>
          <cell r="D546" t="e">
            <v>#REF!</v>
          </cell>
        </row>
        <row r="547">
          <cell r="A547" t="e">
            <v>#REF!</v>
          </cell>
          <cell r="B547" t="e">
            <v>#REF!</v>
          </cell>
          <cell r="C547" t="e">
            <v>#REF!</v>
          </cell>
          <cell r="D547" t="e">
            <v>#REF!</v>
          </cell>
        </row>
        <row r="548">
          <cell r="A548" t="e">
            <v>#REF!</v>
          </cell>
          <cell r="B548" t="e">
            <v>#REF!</v>
          </cell>
          <cell r="C548" t="e">
            <v>#REF!</v>
          </cell>
          <cell r="D548" t="e">
            <v>#REF!</v>
          </cell>
        </row>
        <row r="549">
          <cell r="A549" t="e">
            <v>#REF!</v>
          </cell>
          <cell r="B549" t="e">
            <v>#REF!</v>
          </cell>
          <cell r="C549" t="e">
            <v>#REF!</v>
          </cell>
          <cell r="D549" t="e">
            <v>#REF!</v>
          </cell>
        </row>
        <row r="550">
          <cell r="A550" t="e">
            <v>#REF!</v>
          </cell>
          <cell r="B550" t="e">
            <v>#REF!</v>
          </cell>
          <cell r="C550" t="e">
            <v>#REF!</v>
          </cell>
          <cell r="D550" t="e">
            <v>#REF!</v>
          </cell>
        </row>
        <row r="551">
          <cell r="A551" t="e">
            <v>#REF!</v>
          </cell>
          <cell r="B551" t="e">
            <v>#REF!</v>
          </cell>
          <cell r="C551" t="e">
            <v>#REF!</v>
          </cell>
          <cell r="D551" t="e">
            <v>#REF!</v>
          </cell>
        </row>
        <row r="552">
          <cell r="A552" t="e">
            <v>#REF!</v>
          </cell>
          <cell r="B552" t="e">
            <v>#REF!</v>
          </cell>
          <cell r="C552" t="e">
            <v>#REF!</v>
          </cell>
          <cell r="D552" t="e">
            <v>#REF!</v>
          </cell>
        </row>
        <row r="553">
          <cell r="A553" t="e">
            <v>#REF!</v>
          </cell>
          <cell r="B553" t="e">
            <v>#REF!</v>
          </cell>
          <cell r="C553" t="e">
            <v>#REF!</v>
          </cell>
          <cell r="D553" t="e">
            <v>#REF!</v>
          </cell>
        </row>
        <row r="554">
          <cell r="A554" t="e">
            <v>#REF!</v>
          </cell>
          <cell r="B554" t="e">
            <v>#REF!</v>
          </cell>
          <cell r="C554" t="e">
            <v>#REF!</v>
          </cell>
          <cell r="D554" t="e">
            <v>#REF!</v>
          </cell>
        </row>
        <row r="555">
          <cell r="A555" t="e">
            <v>#REF!</v>
          </cell>
          <cell r="B555" t="e">
            <v>#REF!</v>
          </cell>
          <cell r="C555" t="e">
            <v>#REF!</v>
          </cell>
          <cell r="D555" t="e">
            <v>#REF!</v>
          </cell>
        </row>
        <row r="556">
          <cell r="A556" t="e">
            <v>#REF!</v>
          </cell>
          <cell r="B556" t="e">
            <v>#REF!</v>
          </cell>
          <cell r="C556" t="e">
            <v>#REF!</v>
          </cell>
          <cell r="D556" t="e">
            <v>#REF!</v>
          </cell>
        </row>
        <row r="557">
          <cell r="A557" t="e">
            <v>#REF!</v>
          </cell>
          <cell r="B557" t="e">
            <v>#REF!</v>
          </cell>
          <cell r="C557" t="e">
            <v>#REF!</v>
          </cell>
          <cell r="D557" t="e">
            <v>#REF!</v>
          </cell>
        </row>
        <row r="558">
          <cell r="A558" t="e">
            <v>#REF!</v>
          </cell>
          <cell r="B558" t="e">
            <v>#REF!</v>
          </cell>
          <cell r="C558" t="e">
            <v>#REF!</v>
          </cell>
          <cell r="D558" t="e">
            <v>#REF!</v>
          </cell>
        </row>
        <row r="559">
          <cell r="A559" t="e">
            <v>#REF!</v>
          </cell>
          <cell r="B559" t="e">
            <v>#REF!</v>
          </cell>
          <cell r="C559" t="e">
            <v>#REF!</v>
          </cell>
          <cell r="D559" t="e">
            <v>#REF!</v>
          </cell>
        </row>
        <row r="560">
          <cell r="A560" t="e">
            <v>#REF!</v>
          </cell>
          <cell r="B560" t="e">
            <v>#REF!</v>
          </cell>
          <cell r="C560" t="e">
            <v>#REF!</v>
          </cell>
          <cell r="D560" t="e">
            <v>#REF!</v>
          </cell>
        </row>
        <row r="561">
          <cell r="A561" t="e">
            <v>#REF!</v>
          </cell>
          <cell r="B561" t="e">
            <v>#REF!</v>
          </cell>
          <cell r="C561" t="e">
            <v>#REF!</v>
          </cell>
          <cell r="D561" t="e">
            <v>#REF!</v>
          </cell>
        </row>
        <row r="562">
          <cell r="A562" t="e">
            <v>#REF!</v>
          </cell>
          <cell r="B562" t="e">
            <v>#REF!</v>
          </cell>
          <cell r="C562" t="e">
            <v>#REF!</v>
          </cell>
          <cell r="D562" t="e">
            <v>#REF!</v>
          </cell>
        </row>
        <row r="563">
          <cell r="A563" t="e">
            <v>#REF!</v>
          </cell>
          <cell r="B563" t="e">
            <v>#REF!</v>
          </cell>
          <cell r="C563" t="e">
            <v>#REF!</v>
          </cell>
          <cell r="D563" t="e">
            <v>#REF!</v>
          </cell>
        </row>
        <row r="564">
          <cell r="A564" t="e">
            <v>#REF!</v>
          </cell>
          <cell r="B564" t="e">
            <v>#REF!</v>
          </cell>
          <cell r="C564" t="e">
            <v>#REF!</v>
          </cell>
          <cell r="D564" t="e">
            <v>#REF!</v>
          </cell>
        </row>
        <row r="565">
          <cell r="A565" t="e">
            <v>#REF!</v>
          </cell>
          <cell r="B565" t="e">
            <v>#REF!</v>
          </cell>
          <cell r="C565" t="e">
            <v>#REF!</v>
          </cell>
          <cell r="D565" t="e">
            <v>#REF!</v>
          </cell>
        </row>
        <row r="566">
          <cell r="A566" t="e">
            <v>#REF!</v>
          </cell>
          <cell r="B566" t="e">
            <v>#REF!</v>
          </cell>
          <cell r="C566" t="e">
            <v>#REF!</v>
          </cell>
          <cell r="D566" t="e">
            <v>#REF!</v>
          </cell>
        </row>
        <row r="567">
          <cell r="A567" t="e">
            <v>#REF!</v>
          </cell>
          <cell r="B567" t="e">
            <v>#REF!</v>
          </cell>
          <cell r="C567" t="e">
            <v>#REF!</v>
          </cell>
          <cell r="D567" t="e">
            <v>#REF!</v>
          </cell>
        </row>
        <row r="568">
          <cell r="A568" t="e">
            <v>#REF!</v>
          </cell>
          <cell r="B568" t="e">
            <v>#REF!</v>
          </cell>
          <cell r="C568" t="e">
            <v>#REF!</v>
          </cell>
          <cell r="D568" t="e">
            <v>#REF!</v>
          </cell>
        </row>
        <row r="569">
          <cell r="A569" t="e">
            <v>#REF!</v>
          </cell>
          <cell r="B569" t="e">
            <v>#REF!</v>
          </cell>
          <cell r="C569" t="e">
            <v>#REF!</v>
          </cell>
          <cell r="D569" t="e">
            <v>#REF!</v>
          </cell>
        </row>
        <row r="570">
          <cell r="A570" t="e">
            <v>#REF!</v>
          </cell>
          <cell r="B570" t="e">
            <v>#REF!</v>
          </cell>
          <cell r="C570" t="e">
            <v>#REF!</v>
          </cell>
          <cell r="D570" t="e">
            <v>#REF!</v>
          </cell>
        </row>
        <row r="571">
          <cell r="A571" t="e">
            <v>#REF!</v>
          </cell>
          <cell r="B571" t="e">
            <v>#REF!</v>
          </cell>
          <cell r="C571" t="e">
            <v>#REF!</v>
          </cell>
          <cell r="D571" t="e">
            <v>#REF!</v>
          </cell>
        </row>
        <row r="572">
          <cell r="A572" t="e">
            <v>#REF!</v>
          </cell>
          <cell r="B572" t="e">
            <v>#REF!</v>
          </cell>
          <cell r="C572" t="e">
            <v>#REF!</v>
          </cell>
          <cell r="D572" t="e">
            <v>#REF!</v>
          </cell>
        </row>
        <row r="573">
          <cell r="A573" t="e">
            <v>#REF!</v>
          </cell>
          <cell r="B573" t="e">
            <v>#REF!</v>
          </cell>
          <cell r="C573" t="e">
            <v>#REF!</v>
          </cell>
          <cell r="D573" t="e">
            <v>#REF!</v>
          </cell>
        </row>
        <row r="574">
          <cell r="A574" t="e">
            <v>#REF!</v>
          </cell>
          <cell r="B574" t="e">
            <v>#REF!</v>
          </cell>
          <cell r="C574" t="e">
            <v>#REF!</v>
          </cell>
          <cell r="D574" t="e">
            <v>#REF!</v>
          </cell>
        </row>
        <row r="575">
          <cell r="A575" t="e">
            <v>#REF!</v>
          </cell>
          <cell r="B575" t="e">
            <v>#REF!</v>
          </cell>
          <cell r="C575" t="e">
            <v>#REF!</v>
          </cell>
          <cell r="D575" t="e">
            <v>#REF!</v>
          </cell>
        </row>
        <row r="576">
          <cell r="A576" t="e">
            <v>#REF!</v>
          </cell>
          <cell r="B576" t="e">
            <v>#REF!</v>
          </cell>
          <cell r="C576" t="e">
            <v>#REF!</v>
          </cell>
          <cell r="D576" t="e">
            <v>#REF!</v>
          </cell>
        </row>
        <row r="577">
          <cell r="A577" t="e">
            <v>#REF!</v>
          </cell>
          <cell r="B577" t="e">
            <v>#REF!</v>
          </cell>
          <cell r="C577" t="e">
            <v>#REF!</v>
          </cell>
          <cell r="D577" t="e">
            <v>#REF!</v>
          </cell>
        </row>
        <row r="578">
          <cell r="A578" t="e">
            <v>#REF!</v>
          </cell>
          <cell r="B578" t="e">
            <v>#REF!</v>
          </cell>
          <cell r="C578" t="e">
            <v>#REF!</v>
          </cell>
          <cell r="D578" t="e">
            <v>#REF!</v>
          </cell>
        </row>
        <row r="579">
          <cell r="A579" t="e">
            <v>#REF!</v>
          </cell>
          <cell r="B579" t="e">
            <v>#REF!</v>
          </cell>
          <cell r="C579" t="e">
            <v>#REF!</v>
          </cell>
          <cell r="D579" t="e">
            <v>#REF!</v>
          </cell>
        </row>
        <row r="580">
          <cell r="A580" t="e">
            <v>#REF!</v>
          </cell>
          <cell r="B580" t="e">
            <v>#REF!</v>
          </cell>
          <cell r="C580" t="e">
            <v>#REF!</v>
          </cell>
          <cell r="D580" t="e">
            <v>#REF!</v>
          </cell>
        </row>
        <row r="581">
          <cell r="A581" t="e">
            <v>#REF!</v>
          </cell>
          <cell r="B581" t="e">
            <v>#REF!</v>
          </cell>
          <cell r="C581" t="e">
            <v>#REF!</v>
          </cell>
          <cell r="D581" t="e">
            <v>#REF!</v>
          </cell>
        </row>
        <row r="582">
          <cell r="A582" t="e">
            <v>#REF!</v>
          </cell>
          <cell r="B582" t="e">
            <v>#REF!</v>
          </cell>
          <cell r="C582" t="e">
            <v>#REF!</v>
          </cell>
          <cell r="D582" t="e">
            <v>#REF!</v>
          </cell>
        </row>
        <row r="583">
          <cell r="A583" t="e">
            <v>#REF!</v>
          </cell>
          <cell r="B583" t="e">
            <v>#REF!</v>
          </cell>
          <cell r="C583" t="e">
            <v>#REF!</v>
          </cell>
          <cell r="D583" t="e">
            <v>#REF!</v>
          </cell>
        </row>
        <row r="584">
          <cell r="A584" t="e">
            <v>#REF!</v>
          </cell>
          <cell r="B584" t="e">
            <v>#REF!</v>
          </cell>
          <cell r="C584" t="e">
            <v>#REF!</v>
          </cell>
          <cell r="D584" t="e">
            <v>#REF!</v>
          </cell>
        </row>
        <row r="585">
          <cell r="A585" t="e">
            <v>#REF!</v>
          </cell>
          <cell r="B585" t="e">
            <v>#REF!</v>
          </cell>
          <cell r="C585" t="e">
            <v>#REF!</v>
          </cell>
          <cell r="D585" t="e">
            <v>#REF!</v>
          </cell>
        </row>
        <row r="586">
          <cell r="A586" t="e">
            <v>#REF!</v>
          </cell>
          <cell r="B586" t="e">
            <v>#REF!</v>
          </cell>
          <cell r="C586" t="e">
            <v>#REF!</v>
          </cell>
          <cell r="D586" t="e">
            <v>#REF!</v>
          </cell>
        </row>
        <row r="587">
          <cell r="A587" t="e">
            <v>#REF!</v>
          </cell>
          <cell r="B587" t="e">
            <v>#REF!</v>
          </cell>
          <cell r="C587" t="e">
            <v>#REF!</v>
          </cell>
          <cell r="D587" t="e">
            <v>#REF!</v>
          </cell>
        </row>
        <row r="588">
          <cell r="A588" t="e">
            <v>#REF!</v>
          </cell>
          <cell r="B588" t="e">
            <v>#REF!</v>
          </cell>
          <cell r="C588" t="e">
            <v>#REF!</v>
          </cell>
          <cell r="D588" t="e">
            <v>#REF!</v>
          </cell>
        </row>
        <row r="589">
          <cell r="A589" t="e">
            <v>#REF!</v>
          </cell>
          <cell r="B589" t="e">
            <v>#REF!</v>
          </cell>
          <cell r="C589" t="e">
            <v>#REF!</v>
          </cell>
          <cell r="D589" t="e">
            <v>#REF!</v>
          </cell>
        </row>
        <row r="590">
          <cell r="A590" t="e">
            <v>#REF!</v>
          </cell>
          <cell r="B590" t="e">
            <v>#REF!</v>
          </cell>
          <cell r="C590" t="e">
            <v>#REF!</v>
          </cell>
          <cell r="D590" t="e">
            <v>#REF!</v>
          </cell>
        </row>
        <row r="591">
          <cell r="A591" t="e">
            <v>#REF!</v>
          </cell>
          <cell r="B591" t="e">
            <v>#REF!</v>
          </cell>
          <cell r="C591" t="e">
            <v>#REF!</v>
          </cell>
          <cell r="D591" t="e">
            <v>#REF!</v>
          </cell>
        </row>
        <row r="592">
          <cell r="A592" t="e">
            <v>#REF!</v>
          </cell>
          <cell r="B592" t="e">
            <v>#REF!</v>
          </cell>
          <cell r="C592" t="e">
            <v>#REF!</v>
          </cell>
          <cell r="D592" t="e">
            <v>#REF!</v>
          </cell>
        </row>
        <row r="593">
          <cell r="A593" t="e">
            <v>#REF!</v>
          </cell>
          <cell r="B593" t="e">
            <v>#REF!</v>
          </cell>
          <cell r="C593" t="e">
            <v>#REF!</v>
          </cell>
          <cell r="D593" t="e">
            <v>#REF!</v>
          </cell>
        </row>
        <row r="594">
          <cell r="A594" t="e">
            <v>#REF!</v>
          </cell>
          <cell r="B594" t="e">
            <v>#REF!</v>
          </cell>
          <cell r="C594" t="e">
            <v>#REF!</v>
          </cell>
          <cell r="D594" t="e">
            <v>#REF!</v>
          </cell>
        </row>
        <row r="595">
          <cell r="A595" t="e">
            <v>#REF!</v>
          </cell>
          <cell r="B595" t="e">
            <v>#REF!</v>
          </cell>
          <cell r="C595" t="e">
            <v>#REF!</v>
          </cell>
          <cell r="D595" t="e">
            <v>#REF!</v>
          </cell>
        </row>
        <row r="596">
          <cell r="A596" t="e">
            <v>#REF!</v>
          </cell>
          <cell r="B596" t="e">
            <v>#REF!</v>
          </cell>
          <cell r="C596" t="e">
            <v>#REF!</v>
          </cell>
          <cell r="D596" t="e">
            <v>#REF!</v>
          </cell>
        </row>
        <row r="597">
          <cell r="A597" t="e">
            <v>#REF!</v>
          </cell>
          <cell r="B597" t="e">
            <v>#REF!</v>
          </cell>
          <cell r="C597" t="e">
            <v>#REF!</v>
          </cell>
          <cell r="D597" t="e">
            <v>#REF!</v>
          </cell>
        </row>
        <row r="598">
          <cell r="A598" t="e">
            <v>#REF!</v>
          </cell>
          <cell r="B598" t="e">
            <v>#REF!</v>
          </cell>
          <cell r="C598" t="e">
            <v>#REF!</v>
          </cell>
          <cell r="D598" t="e">
            <v>#REF!</v>
          </cell>
        </row>
        <row r="599">
          <cell r="A599" t="e">
            <v>#REF!</v>
          </cell>
          <cell r="B599" t="e">
            <v>#REF!</v>
          </cell>
          <cell r="C599" t="e">
            <v>#REF!</v>
          </cell>
          <cell r="D599" t="e">
            <v>#REF!</v>
          </cell>
        </row>
        <row r="600">
          <cell r="A600" t="e">
            <v>#REF!</v>
          </cell>
          <cell r="B600" t="e">
            <v>#REF!</v>
          </cell>
          <cell r="C600" t="e">
            <v>#REF!</v>
          </cell>
          <cell r="D600" t="e">
            <v>#REF!</v>
          </cell>
        </row>
        <row r="601">
          <cell r="A601" t="e">
            <v>#REF!</v>
          </cell>
          <cell r="B601" t="e">
            <v>#REF!</v>
          </cell>
          <cell r="C601" t="e">
            <v>#REF!</v>
          </cell>
          <cell r="D601" t="e">
            <v>#REF!</v>
          </cell>
        </row>
        <row r="602">
          <cell r="A602" t="e">
            <v>#REF!</v>
          </cell>
          <cell r="B602" t="e">
            <v>#REF!</v>
          </cell>
          <cell r="C602" t="e">
            <v>#REF!</v>
          </cell>
          <cell r="D602" t="e">
            <v>#REF!</v>
          </cell>
        </row>
        <row r="603">
          <cell r="A603" t="e">
            <v>#REF!</v>
          </cell>
          <cell r="B603" t="e">
            <v>#REF!</v>
          </cell>
          <cell r="C603" t="e">
            <v>#REF!</v>
          </cell>
          <cell r="D603" t="e">
            <v>#REF!</v>
          </cell>
        </row>
        <row r="604">
          <cell r="A604" t="e">
            <v>#REF!</v>
          </cell>
          <cell r="B604" t="e">
            <v>#REF!</v>
          </cell>
          <cell r="C604" t="e">
            <v>#REF!</v>
          </cell>
          <cell r="D604" t="e">
            <v>#REF!</v>
          </cell>
        </row>
        <row r="605">
          <cell r="A605" t="e">
            <v>#REF!</v>
          </cell>
          <cell r="B605" t="e">
            <v>#REF!</v>
          </cell>
          <cell r="C605" t="e">
            <v>#REF!</v>
          </cell>
          <cell r="D605" t="e">
            <v>#REF!</v>
          </cell>
        </row>
        <row r="606">
          <cell r="A606" t="e">
            <v>#REF!</v>
          </cell>
          <cell r="B606" t="e">
            <v>#REF!</v>
          </cell>
          <cell r="C606" t="e">
            <v>#REF!</v>
          </cell>
          <cell r="D606" t="e">
            <v>#REF!</v>
          </cell>
        </row>
        <row r="607">
          <cell r="A607" t="e">
            <v>#REF!</v>
          </cell>
          <cell r="B607" t="e">
            <v>#REF!</v>
          </cell>
          <cell r="C607" t="e">
            <v>#REF!</v>
          </cell>
          <cell r="D607" t="e">
            <v>#REF!</v>
          </cell>
        </row>
        <row r="608">
          <cell r="A608" t="e">
            <v>#REF!</v>
          </cell>
          <cell r="B608" t="e">
            <v>#REF!</v>
          </cell>
          <cell r="C608" t="e">
            <v>#REF!</v>
          </cell>
          <cell r="D608" t="e">
            <v>#REF!</v>
          </cell>
        </row>
        <row r="609">
          <cell r="A609" t="e">
            <v>#REF!</v>
          </cell>
          <cell r="B609" t="e">
            <v>#REF!</v>
          </cell>
          <cell r="C609" t="e">
            <v>#REF!</v>
          </cell>
          <cell r="D609" t="e">
            <v>#REF!</v>
          </cell>
        </row>
        <row r="610">
          <cell r="A610" t="e">
            <v>#REF!</v>
          </cell>
          <cell r="B610" t="e">
            <v>#REF!</v>
          </cell>
          <cell r="C610" t="e">
            <v>#REF!</v>
          </cell>
          <cell r="D610" t="e">
            <v>#REF!</v>
          </cell>
        </row>
        <row r="611">
          <cell r="A611" t="e">
            <v>#REF!</v>
          </cell>
          <cell r="B611" t="e">
            <v>#REF!</v>
          </cell>
          <cell r="C611" t="e">
            <v>#REF!</v>
          </cell>
          <cell r="D611" t="e">
            <v>#REF!</v>
          </cell>
        </row>
        <row r="612">
          <cell r="A612" t="e">
            <v>#REF!</v>
          </cell>
          <cell r="B612" t="e">
            <v>#REF!</v>
          </cell>
          <cell r="C612" t="e">
            <v>#REF!</v>
          </cell>
          <cell r="D612" t="e">
            <v>#REF!</v>
          </cell>
        </row>
        <row r="613">
          <cell r="A613" t="e">
            <v>#REF!</v>
          </cell>
          <cell r="B613" t="e">
            <v>#REF!</v>
          </cell>
          <cell r="C613" t="e">
            <v>#REF!</v>
          </cell>
          <cell r="D613" t="e">
            <v>#REF!</v>
          </cell>
        </row>
        <row r="614">
          <cell r="A614" t="e">
            <v>#REF!</v>
          </cell>
          <cell r="B614" t="e">
            <v>#REF!</v>
          </cell>
          <cell r="C614" t="e">
            <v>#REF!</v>
          </cell>
          <cell r="D614" t="e">
            <v>#REF!</v>
          </cell>
        </row>
        <row r="615">
          <cell r="A615" t="e">
            <v>#REF!</v>
          </cell>
          <cell r="B615" t="e">
            <v>#REF!</v>
          </cell>
          <cell r="C615" t="e">
            <v>#REF!</v>
          </cell>
          <cell r="D615" t="e">
            <v>#REF!</v>
          </cell>
        </row>
        <row r="616">
          <cell r="A616" t="e">
            <v>#REF!</v>
          </cell>
          <cell r="B616" t="e">
            <v>#REF!</v>
          </cell>
          <cell r="C616" t="e">
            <v>#REF!</v>
          </cell>
          <cell r="D616" t="e">
            <v>#REF!</v>
          </cell>
        </row>
        <row r="617">
          <cell r="A617" t="e">
            <v>#REF!</v>
          </cell>
          <cell r="B617" t="e">
            <v>#REF!</v>
          </cell>
          <cell r="C617" t="e">
            <v>#REF!</v>
          </cell>
          <cell r="D617" t="e">
            <v>#REF!</v>
          </cell>
        </row>
        <row r="618">
          <cell r="A618" t="e">
            <v>#REF!</v>
          </cell>
          <cell r="B618" t="e">
            <v>#REF!</v>
          </cell>
          <cell r="C618" t="e">
            <v>#REF!</v>
          </cell>
          <cell r="D618" t="e">
            <v>#REF!</v>
          </cell>
        </row>
        <row r="619">
          <cell r="A619" t="e">
            <v>#REF!</v>
          </cell>
          <cell r="B619" t="e">
            <v>#REF!</v>
          </cell>
          <cell r="C619" t="e">
            <v>#REF!</v>
          </cell>
          <cell r="D619" t="e">
            <v>#REF!</v>
          </cell>
        </row>
        <row r="620">
          <cell r="A620" t="e">
            <v>#REF!</v>
          </cell>
          <cell r="B620" t="e">
            <v>#REF!</v>
          </cell>
          <cell r="C620" t="e">
            <v>#REF!</v>
          </cell>
          <cell r="D620" t="e">
            <v>#REF!</v>
          </cell>
        </row>
        <row r="621">
          <cell r="A621" t="e">
            <v>#REF!</v>
          </cell>
          <cell r="B621" t="e">
            <v>#REF!</v>
          </cell>
          <cell r="C621" t="e">
            <v>#REF!</v>
          </cell>
          <cell r="D621" t="e">
            <v>#REF!</v>
          </cell>
        </row>
        <row r="622">
          <cell r="A622" t="e">
            <v>#REF!</v>
          </cell>
          <cell r="B622" t="e">
            <v>#REF!</v>
          </cell>
          <cell r="C622" t="e">
            <v>#REF!</v>
          </cell>
          <cell r="D622" t="e">
            <v>#REF!</v>
          </cell>
        </row>
        <row r="623">
          <cell r="A623" t="e">
            <v>#REF!</v>
          </cell>
          <cell r="B623" t="e">
            <v>#REF!</v>
          </cell>
          <cell r="C623" t="e">
            <v>#REF!</v>
          </cell>
          <cell r="D623" t="e">
            <v>#REF!</v>
          </cell>
        </row>
        <row r="624">
          <cell r="A624" t="e">
            <v>#REF!</v>
          </cell>
          <cell r="B624" t="e">
            <v>#REF!</v>
          </cell>
          <cell r="C624" t="e">
            <v>#REF!</v>
          </cell>
          <cell r="D624" t="e">
            <v>#REF!</v>
          </cell>
        </row>
        <row r="625">
          <cell r="A625" t="e">
            <v>#REF!</v>
          </cell>
          <cell r="B625" t="e">
            <v>#REF!</v>
          </cell>
          <cell r="C625" t="e">
            <v>#REF!</v>
          </cell>
          <cell r="D625" t="e">
            <v>#REF!</v>
          </cell>
        </row>
        <row r="626">
          <cell r="A626" t="e">
            <v>#REF!</v>
          </cell>
          <cell r="B626" t="e">
            <v>#REF!</v>
          </cell>
          <cell r="C626" t="e">
            <v>#REF!</v>
          </cell>
          <cell r="D626" t="e">
            <v>#REF!</v>
          </cell>
        </row>
        <row r="627">
          <cell r="A627" t="e">
            <v>#REF!</v>
          </cell>
          <cell r="B627" t="e">
            <v>#REF!</v>
          </cell>
          <cell r="C627" t="e">
            <v>#REF!</v>
          </cell>
          <cell r="D627" t="e">
            <v>#REF!</v>
          </cell>
        </row>
        <row r="628">
          <cell r="A628" t="e">
            <v>#REF!</v>
          </cell>
          <cell r="B628" t="e">
            <v>#REF!</v>
          </cell>
          <cell r="C628" t="e">
            <v>#REF!</v>
          </cell>
          <cell r="D628" t="e">
            <v>#REF!</v>
          </cell>
        </row>
        <row r="629">
          <cell r="A629" t="e">
            <v>#REF!</v>
          </cell>
          <cell r="B629" t="e">
            <v>#REF!</v>
          </cell>
          <cell r="C629" t="e">
            <v>#REF!</v>
          </cell>
          <cell r="D629" t="e">
            <v>#REF!</v>
          </cell>
        </row>
        <row r="630">
          <cell r="A630" t="e">
            <v>#REF!</v>
          </cell>
          <cell r="B630" t="e">
            <v>#REF!</v>
          </cell>
          <cell r="C630" t="e">
            <v>#REF!</v>
          </cell>
          <cell r="D630" t="e">
            <v>#REF!</v>
          </cell>
        </row>
        <row r="631">
          <cell r="A631" t="e">
            <v>#REF!</v>
          </cell>
          <cell r="B631" t="e">
            <v>#REF!</v>
          </cell>
          <cell r="C631" t="e">
            <v>#REF!</v>
          </cell>
          <cell r="D631" t="e">
            <v>#REF!</v>
          </cell>
        </row>
        <row r="632">
          <cell r="A632" t="e">
            <v>#REF!</v>
          </cell>
          <cell r="B632" t="e">
            <v>#REF!</v>
          </cell>
          <cell r="C632" t="e">
            <v>#REF!</v>
          </cell>
          <cell r="D632" t="e">
            <v>#REF!</v>
          </cell>
        </row>
        <row r="633">
          <cell r="A633" t="e">
            <v>#REF!</v>
          </cell>
          <cell r="B633" t="e">
            <v>#REF!</v>
          </cell>
          <cell r="C633" t="e">
            <v>#REF!</v>
          </cell>
          <cell r="D633" t="e">
            <v>#REF!</v>
          </cell>
        </row>
        <row r="634">
          <cell r="A634" t="e">
            <v>#REF!</v>
          </cell>
          <cell r="B634" t="e">
            <v>#REF!</v>
          </cell>
          <cell r="C634" t="e">
            <v>#REF!</v>
          </cell>
          <cell r="D634" t="e">
            <v>#REF!</v>
          </cell>
        </row>
        <row r="635">
          <cell r="A635" t="e">
            <v>#REF!</v>
          </cell>
          <cell r="B635" t="e">
            <v>#REF!</v>
          </cell>
          <cell r="C635" t="e">
            <v>#REF!</v>
          </cell>
          <cell r="D635" t="e">
            <v>#REF!</v>
          </cell>
        </row>
        <row r="636">
          <cell r="A636" t="e">
            <v>#REF!</v>
          </cell>
          <cell r="B636" t="e">
            <v>#REF!</v>
          </cell>
          <cell r="C636" t="e">
            <v>#REF!</v>
          </cell>
          <cell r="D636" t="e">
            <v>#REF!</v>
          </cell>
        </row>
        <row r="637">
          <cell r="A637" t="e">
            <v>#REF!</v>
          </cell>
          <cell r="B637" t="e">
            <v>#REF!</v>
          </cell>
          <cell r="C637" t="e">
            <v>#REF!</v>
          </cell>
          <cell r="D637" t="e">
            <v>#REF!</v>
          </cell>
        </row>
        <row r="638">
          <cell r="A638" t="e">
            <v>#REF!</v>
          </cell>
          <cell r="B638" t="e">
            <v>#REF!</v>
          </cell>
          <cell r="C638" t="e">
            <v>#REF!</v>
          </cell>
          <cell r="D638" t="e">
            <v>#REF!</v>
          </cell>
        </row>
        <row r="639">
          <cell r="A639" t="e">
            <v>#REF!</v>
          </cell>
          <cell r="B639" t="e">
            <v>#REF!</v>
          </cell>
          <cell r="C639" t="e">
            <v>#REF!</v>
          </cell>
          <cell r="D639" t="e">
            <v>#REF!</v>
          </cell>
        </row>
        <row r="640">
          <cell r="A640" t="e">
            <v>#REF!</v>
          </cell>
          <cell r="B640" t="e">
            <v>#REF!</v>
          </cell>
          <cell r="C640" t="e">
            <v>#REF!</v>
          </cell>
          <cell r="D640" t="e">
            <v>#REF!</v>
          </cell>
        </row>
        <row r="641">
          <cell r="A641" t="e">
            <v>#REF!</v>
          </cell>
          <cell r="B641" t="e">
            <v>#REF!</v>
          </cell>
          <cell r="C641" t="e">
            <v>#REF!</v>
          </cell>
          <cell r="D641" t="e">
            <v>#REF!</v>
          </cell>
        </row>
        <row r="642">
          <cell r="A642" t="e">
            <v>#REF!</v>
          </cell>
          <cell r="B642" t="e">
            <v>#REF!</v>
          </cell>
          <cell r="C642" t="e">
            <v>#REF!</v>
          </cell>
          <cell r="D642" t="e">
            <v>#REF!</v>
          </cell>
        </row>
        <row r="643">
          <cell r="A643" t="e">
            <v>#REF!</v>
          </cell>
          <cell r="B643" t="e">
            <v>#REF!</v>
          </cell>
          <cell r="C643" t="e">
            <v>#REF!</v>
          </cell>
          <cell r="D643" t="e">
            <v>#REF!</v>
          </cell>
        </row>
        <row r="644">
          <cell r="A644" t="e">
            <v>#REF!</v>
          </cell>
          <cell r="B644" t="e">
            <v>#REF!</v>
          </cell>
          <cell r="C644" t="e">
            <v>#REF!</v>
          </cell>
          <cell r="D644" t="e">
            <v>#REF!</v>
          </cell>
        </row>
        <row r="645">
          <cell r="A645" t="e">
            <v>#REF!</v>
          </cell>
          <cell r="B645" t="e">
            <v>#REF!</v>
          </cell>
          <cell r="C645" t="e">
            <v>#REF!</v>
          </cell>
          <cell r="D645" t="e">
            <v>#REF!</v>
          </cell>
        </row>
        <row r="646">
          <cell r="A646" t="e">
            <v>#REF!</v>
          </cell>
          <cell r="B646" t="e">
            <v>#REF!</v>
          </cell>
          <cell r="C646" t="e">
            <v>#REF!</v>
          </cell>
          <cell r="D646" t="e">
            <v>#REF!</v>
          </cell>
        </row>
        <row r="647">
          <cell r="A647" t="e">
            <v>#REF!</v>
          </cell>
          <cell r="B647" t="e">
            <v>#REF!</v>
          </cell>
          <cell r="C647" t="e">
            <v>#REF!</v>
          </cell>
          <cell r="D647" t="e">
            <v>#REF!</v>
          </cell>
        </row>
        <row r="648">
          <cell r="A648" t="e">
            <v>#REF!</v>
          </cell>
          <cell r="B648" t="e">
            <v>#REF!</v>
          </cell>
          <cell r="C648" t="e">
            <v>#REF!</v>
          </cell>
          <cell r="D648" t="e">
            <v>#REF!</v>
          </cell>
        </row>
        <row r="649">
          <cell r="A649" t="e">
            <v>#REF!</v>
          </cell>
          <cell r="B649" t="e">
            <v>#REF!</v>
          </cell>
          <cell r="C649" t="e">
            <v>#REF!</v>
          </cell>
          <cell r="D649" t="e">
            <v>#REF!</v>
          </cell>
        </row>
        <row r="650">
          <cell r="A650" t="e">
            <v>#REF!</v>
          </cell>
          <cell r="B650" t="e">
            <v>#REF!</v>
          </cell>
          <cell r="C650" t="e">
            <v>#REF!</v>
          </cell>
          <cell r="D650" t="e">
            <v>#REF!</v>
          </cell>
        </row>
        <row r="651">
          <cell r="A651" t="e">
            <v>#REF!</v>
          </cell>
          <cell r="B651" t="e">
            <v>#REF!</v>
          </cell>
          <cell r="C651" t="e">
            <v>#REF!</v>
          </cell>
          <cell r="D651" t="e">
            <v>#REF!</v>
          </cell>
        </row>
        <row r="652">
          <cell r="A652" t="e">
            <v>#REF!</v>
          </cell>
          <cell r="B652" t="e">
            <v>#REF!</v>
          </cell>
          <cell r="C652" t="e">
            <v>#REF!</v>
          </cell>
          <cell r="D652" t="e">
            <v>#REF!</v>
          </cell>
        </row>
        <row r="653">
          <cell r="A653" t="e">
            <v>#REF!</v>
          </cell>
          <cell r="B653" t="e">
            <v>#REF!</v>
          </cell>
          <cell r="C653" t="e">
            <v>#REF!</v>
          </cell>
          <cell r="D653" t="e">
            <v>#REF!</v>
          </cell>
        </row>
        <row r="654">
          <cell r="A654" t="e">
            <v>#REF!</v>
          </cell>
          <cell r="B654" t="e">
            <v>#REF!</v>
          </cell>
          <cell r="C654" t="e">
            <v>#REF!</v>
          </cell>
          <cell r="D654" t="e">
            <v>#REF!</v>
          </cell>
        </row>
        <row r="655">
          <cell r="A655" t="e">
            <v>#REF!</v>
          </cell>
          <cell r="B655" t="e">
            <v>#REF!</v>
          </cell>
          <cell r="C655" t="e">
            <v>#REF!</v>
          </cell>
          <cell r="D655" t="e">
            <v>#REF!</v>
          </cell>
        </row>
        <row r="656">
          <cell r="A656" t="e">
            <v>#REF!</v>
          </cell>
          <cell r="B656" t="e">
            <v>#REF!</v>
          </cell>
          <cell r="C656" t="e">
            <v>#REF!</v>
          </cell>
          <cell r="D656" t="e">
            <v>#REF!</v>
          </cell>
        </row>
        <row r="657">
          <cell r="A657" t="e">
            <v>#REF!</v>
          </cell>
          <cell r="B657" t="e">
            <v>#REF!</v>
          </cell>
          <cell r="C657" t="e">
            <v>#REF!</v>
          </cell>
          <cell r="D657" t="e">
            <v>#REF!</v>
          </cell>
        </row>
        <row r="658">
          <cell r="A658" t="e">
            <v>#REF!</v>
          </cell>
          <cell r="B658" t="e">
            <v>#REF!</v>
          </cell>
          <cell r="C658" t="e">
            <v>#REF!</v>
          </cell>
          <cell r="D658" t="e">
            <v>#REF!</v>
          </cell>
        </row>
        <row r="659">
          <cell r="A659" t="e">
            <v>#REF!</v>
          </cell>
          <cell r="B659" t="e">
            <v>#REF!</v>
          </cell>
          <cell r="C659" t="e">
            <v>#REF!</v>
          </cell>
          <cell r="D659" t="e">
            <v>#REF!</v>
          </cell>
        </row>
        <row r="660">
          <cell r="A660" t="e">
            <v>#REF!</v>
          </cell>
          <cell r="B660" t="e">
            <v>#REF!</v>
          </cell>
          <cell r="C660" t="e">
            <v>#REF!</v>
          </cell>
          <cell r="D660" t="e">
            <v>#REF!</v>
          </cell>
        </row>
        <row r="661">
          <cell r="A661" t="e">
            <v>#REF!</v>
          </cell>
          <cell r="B661" t="e">
            <v>#REF!</v>
          </cell>
          <cell r="C661" t="e">
            <v>#REF!</v>
          </cell>
          <cell r="D661" t="e">
            <v>#REF!</v>
          </cell>
        </row>
        <row r="662">
          <cell r="A662" t="e">
            <v>#REF!</v>
          </cell>
          <cell r="B662" t="e">
            <v>#REF!</v>
          </cell>
          <cell r="C662" t="e">
            <v>#REF!</v>
          </cell>
          <cell r="D662" t="e">
            <v>#REF!</v>
          </cell>
        </row>
        <row r="663">
          <cell r="A663" t="e">
            <v>#REF!</v>
          </cell>
          <cell r="B663" t="e">
            <v>#REF!</v>
          </cell>
          <cell r="C663" t="e">
            <v>#REF!</v>
          </cell>
          <cell r="D663" t="e">
            <v>#REF!</v>
          </cell>
        </row>
        <row r="664">
          <cell r="A664" t="e">
            <v>#REF!</v>
          </cell>
          <cell r="B664" t="e">
            <v>#REF!</v>
          </cell>
          <cell r="C664" t="e">
            <v>#REF!</v>
          </cell>
          <cell r="D664" t="e">
            <v>#REF!</v>
          </cell>
        </row>
        <row r="665">
          <cell r="A665" t="e">
            <v>#REF!</v>
          </cell>
          <cell r="B665" t="e">
            <v>#REF!</v>
          </cell>
          <cell r="C665" t="e">
            <v>#REF!</v>
          </cell>
          <cell r="D665" t="e">
            <v>#REF!</v>
          </cell>
        </row>
      </sheetData>
      <sheetData sheetId="4">
        <row r="2">
          <cell r="C2" t="e">
            <v>#REF!</v>
          </cell>
          <cell r="D2" t="e">
            <v>#REF!</v>
          </cell>
          <cell r="E2" t="e">
            <v>#REF!</v>
          </cell>
        </row>
        <row r="3">
          <cell r="C3" t="e">
            <v>#REF!</v>
          </cell>
          <cell r="D3" t="e">
            <v>#REF!</v>
          </cell>
          <cell r="E3" t="e">
            <v>#REF!</v>
          </cell>
        </row>
        <row r="4">
          <cell r="C4" t="e">
            <v>#REF!</v>
          </cell>
          <cell r="D4" t="e">
            <v>#REF!</v>
          </cell>
          <cell r="E4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</row>
        <row r="6">
          <cell r="C6" t="e">
            <v>#REF!</v>
          </cell>
          <cell r="D6" t="e">
            <v>#REF!</v>
          </cell>
          <cell r="E6" t="e">
            <v>#REF!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</row>
        <row r="34"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</row>
        <row r="36"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</row>
        <row r="38"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</row>
        <row r="40"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</row>
        <row r="42"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</row>
        <row r="44"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</row>
        <row r="46"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</row>
        <row r="48"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</row>
        <row r="50"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</row>
        <row r="52"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</row>
        <row r="54"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</row>
        <row r="56"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</row>
        <row r="62"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</row>
        <row r="64"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</row>
        <row r="66"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</row>
        <row r="68"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</row>
        <row r="70"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</row>
        <row r="72"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</row>
        <row r="74"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</row>
        <row r="80"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</row>
        <row r="82"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</row>
        <row r="84"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</row>
        <row r="86"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</row>
        <row r="88"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</row>
        <row r="90"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</row>
        <row r="92"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</row>
        <row r="94"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</row>
        <row r="96"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</row>
        <row r="98"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</row>
        <row r="100"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</row>
        <row r="102"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</row>
        <row r="104"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</row>
        <row r="106"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</row>
        <row r="108"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</row>
        <row r="110"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</row>
        <row r="112"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</row>
        <row r="114"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</row>
        <row r="116"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</row>
        <row r="118"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</row>
        <row r="120"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</row>
        <row r="122"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</row>
        <row r="124"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</row>
        <row r="126"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</row>
        <row r="128"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</row>
        <row r="130"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</row>
        <row r="132"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</row>
        <row r="136"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</row>
        <row r="140"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</row>
        <row r="144"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</row>
        <row r="146"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</row>
        <row r="148"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</row>
        <row r="158"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</row>
        <row r="160"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</row>
        <row r="162"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</row>
        <row r="164"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</row>
        <row r="190"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</row>
        <row r="192"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</row>
        <row r="194"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</row>
        <row r="196"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</row>
        <row r="198"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</row>
        <row r="200"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</row>
        <row r="202"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</row>
        <row r="204"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</row>
        <row r="206"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</row>
        <row r="208"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</row>
        <row r="210"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</row>
        <row r="212"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</row>
        <row r="214"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</row>
        <row r="216"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</row>
        <row r="218"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</row>
        <row r="220"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</row>
        <row r="222"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</row>
        <row r="224"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</row>
        <row r="226"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</row>
        <row r="228"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</row>
        <row r="230"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</row>
        <row r="232"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</row>
        <row r="234"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</row>
        <row r="236"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</row>
        <row r="238"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</row>
        <row r="240"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</row>
        <row r="242"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</row>
        <row r="244"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</row>
        <row r="246"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</row>
        <row r="248"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</row>
        <row r="250"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</row>
        <row r="252"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</row>
        <row r="254"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</row>
        <row r="256"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</row>
        <row r="258"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</row>
        <row r="260"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</row>
        <row r="262"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</row>
        <row r="264"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</row>
        <row r="266"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</row>
        <row r="268"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</row>
        <row r="270"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</row>
        <row r="272"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</row>
        <row r="274"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</row>
        <row r="276"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</row>
        <row r="278"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</row>
        <row r="280"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</row>
        <row r="282"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</row>
        <row r="284"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</row>
        <row r="286"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</row>
        <row r="288"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</row>
        <row r="290"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</row>
        <row r="292"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</row>
        <row r="294"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</row>
        <row r="296"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</row>
        <row r="298"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</row>
        <row r="300"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</row>
        <row r="302"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</row>
        <row r="304"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</row>
        <row r="306"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</row>
        <row r="308"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</row>
        <row r="310"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</row>
        <row r="312"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</row>
        <row r="314"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</row>
        <row r="316"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</row>
        <row r="318"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</row>
        <row r="320"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</row>
        <row r="322"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</row>
        <row r="324"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</row>
        <row r="326"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</row>
        <row r="328"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</row>
        <row r="330"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</row>
        <row r="332"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</row>
        <row r="334"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</row>
        <row r="336"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</row>
        <row r="338"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</row>
        <row r="340"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</row>
        <row r="342"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</row>
        <row r="344"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</row>
        <row r="346"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</row>
        <row r="348"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</row>
        <row r="350"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</row>
        <row r="352">
          <cell r="C352" t="e">
            <v>#REF!</v>
          </cell>
          <cell r="D352" t="e">
            <v>#REF!</v>
          </cell>
          <cell r="E352" t="e">
            <v>#REF!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68"/>
  <sheetViews>
    <sheetView tabSelected="1" zoomScale="70" workbookViewId="0">
      <selection activeCell="H26" sqref="H26:M29"/>
    </sheetView>
  </sheetViews>
  <sheetFormatPr defaultColWidth="9.140625" defaultRowHeight="12.75" x14ac:dyDescent="0.25"/>
  <cols>
    <col min="1" max="1" width="2.85546875" style="1" customWidth="1"/>
    <col min="2" max="2" width="15.42578125" style="1" customWidth="1"/>
    <col min="3" max="3" width="13.7109375" style="1" customWidth="1"/>
    <col min="4" max="4" width="8.28515625" style="1" customWidth="1"/>
    <col min="5" max="5" width="19.140625" style="1" bestFit="1" customWidth="1"/>
    <col min="6" max="6" width="7.28515625" style="1" customWidth="1"/>
    <col min="7" max="7" width="9" style="1" customWidth="1"/>
    <col min="8" max="8" width="13.7109375" style="1" customWidth="1"/>
    <col min="9" max="10" width="8.28515625" style="1" customWidth="1"/>
    <col min="11" max="11" width="11.140625" style="1" customWidth="1"/>
    <col min="12" max="12" width="13.140625" style="1" customWidth="1"/>
    <col min="13" max="13" width="13.7109375" style="1" customWidth="1"/>
    <col min="14" max="14" width="9.85546875" style="1" bestFit="1" customWidth="1"/>
    <col min="15" max="15" width="10.85546875" style="1" bestFit="1" customWidth="1"/>
    <col min="16" max="16" width="9.42578125" style="1" bestFit="1" customWidth="1"/>
    <col min="17" max="17" width="9" style="1" customWidth="1"/>
    <col min="18" max="18" width="13.7109375" style="1" customWidth="1"/>
    <col min="19" max="20" width="8.28515625" style="1" customWidth="1"/>
    <col min="21" max="21" width="9.140625" style="1" customWidth="1"/>
    <col min="22" max="16384" width="9.140625" style="1"/>
  </cols>
  <sheetData>
    <row r="1" spans="2:21" ht="13.5" customHeight="1" x14ac:dyDescent="0.25"/>
    <row r="2" spans="2:21" ht="15" customHeight="1" x14ac:dyDescent="0.25"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2:2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8"/>
    </row>
    <row r="4" spans="2:21" x14ac:dyDescent="0.2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8"/>
    </row>
    <row r="5" spans="2:21" x14ac:dyDescent="0.25"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8"/>
    </row>
    <row r="6" spans="2:21" x14ac:dyDescent="0.25"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8"/>
    </row>
    <row r="7" spans="2:21" x14ac:dyDescent="0.25">
      <c r="B7" s="146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8"/>
    </row>
    <row r="8" spans="2:21" x14ac:dyDescent="0.25"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8"/>
    </row>
    <row r="9" spans="2:21" x14ac:dyDescent="0.25">
      <c r="B9" s="146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8"/>
    </row>
    <row r="10" spans="2:21" x14ac:dyDescent="0.25">
      <c r="B10" s="146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8"/>
    </row>
    <row r="11" spans="2:21" x14ac:dyDescent="0.25">
      <c r="B11" s="146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8"/>
    </row>
    <row r="12" spans="2:21" x14ac:dyDescent="0.25">
      <c r="B12" s="146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8"/>
    </row>
    <row r="13" spans="2:21" x14ac:dyDescent="0.25">
      <c r="B13" s="146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8"/>
    </row>
    <row r="14" spans="2:21" x14ac:dyDescent="0.25">
      <c r="B14" s="146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</row>
    <row r="15" spans="2:21" x14ac:dyDescent="0.25">
      <c r="B15" s="146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8"/>
    </row>
    <row r="16" spans="2:21" x14ac:dyDescent="0.25">
      <c r="B16" s="146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8"/>
    </row>
    <row r="17" spans="2:21" x14ac:dyDescent="0.25">
      <c r="B17" s="146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8"/>
    </row>
    <row r="18" spans="2:21" x14ac:dyDescent="0.25">
      <c r="B18" s="146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8"/>
    </row>
    <row r="19" spans="2:21" x14ac:dyDescent="0.25">
      <c r="B19" s="146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8"/>
    </row>
    <row r="20" spans="2:21" x14ac:dyDescent="0.25">
      <c r="B20" s="146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8"/>
    </row>
    <row r="21" spans="2:21" x14ac:dyDescent="0.25">
      <c r="B21" s="146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8"/>
    </row>
    <row r="22" spans="2:21" x14ac:dyDescent="0.25">
      <c r="B22" s="146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8"/>
    </row>
    <row r="23" spans="2:21" x14ac:dyDescent="0.25">
      <c r="B23" s="146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8"/>
    </row>
    <row r="24" spans="2:21" x14ac:dyDescent="0.25">
      <c r="B24" s="146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8"/>
    </row>
    <row r="25" spans="2:21" ht="13.5" customHeight="1" x14ac:dyDescent="0.25">
      <c r="B25" s="149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1"/>
    </row>
    <row r="26" spans="2:21" ht="15" customHeight="1" x14ac:dyDescent="0.25">
      <c r="B26" s="152" t="s">
        <v>0</v>
      </c>
      <c r="C26" s="153"/>
      <c r="D26" s="3"/>
      <c r="E26" s="3"/>
      <c r="F26" s="3"/>
      <c r="G26" s="3"/>
      <c r="H26" s="152" t="s">
        <v>1</v>
      </c>
      <c r="I26" s="158"/>
      <c r="J26" s="158"/>
      <c r="K26" s="158"/>
      <c r="L26" s="158"/>
      <c r="M26" s="153"/>
      <c r="N26" s="3"/>
      <c r="O26" s="3"/>
      <c r="P26" s="152" t="s">
        <v>2</v>
      </c>
      <c r="Q26" s="158"/>
      <c r="R26" s="153"/>
      <c r="S26" s="3"/>
      <c r="T26" s="3"/>
      <c r="U26" s="4"/>
    </row>
    <row r="27" spans="2:21" x14ac:dyDescent="0.25">
      <c r="B27" s="154"/>
      <c r="C27" s="155"/>
      <c r="D27" s="3"/>
      <c r="E27" s="5"/>
      <c r="F27" s="3"/>
      <c r="G27" s="3"/>
      <c r="H27" s="154"/>
      <c r="I27" s="159"/>
      <c r="J27" s="159"/>
      <c r="K27" s="159"/>
      <c r="L27" s="159"/>
      <c r="M27" s="155"/>
      <c r="N27" s="3"/>
      <c r="O27" s="3"/>
      <c r="P27" s="154"/>
      <c r="Q27" s="159"/>
      <c r="R27" s="155"/>
      <c r="S27" s="3"/>
      <c r="T27" s="3"/>
      <c r="U27" s="4"/>
    </row>
    <row r="28" spans="2:21" ht="15" customHeight="1" x14ac:dyDescent="0.25">
      <c r="B28" s="154"/>
      <c r="C28" s="155"/>
      <c r="D28" s="3"/>
      <c r="E28" s="3"/>
      <c r="F28" s="3"/>
      <c r="G28" s="3"/>
      <c r="H28" s="154"/>
      <c r="I28" s="159"/>
      <c r="J28" s="159"/>
      <c r="K28" s="159"/>
      <c r="L28" s="159"/>
      <c r="M28" s="155"/>
      <c r="N28" s="3"/>
      <c r="O28" s="3"/>
      <c r="P28" s="154"/>
      <c r="Q28" s="159"/>
      <c r="R28" s="155"/>
      <c r="S28" s="3"/>
      <c r="T28" s="3"/>
      <c r="U28" s="4"/>
    </row>
    <row r="29" spans="2:21" ht="15.75" customHeight="1" x14ac:dyDescent="0.25">
      <c r="B29" s="154"/>
      <c r="C29" s="155"/>
      <c r="D29" s="3"/>
      <c r="E29" s="3"/>
      <c r="F29" s="3"/>
      <c r="G29" s="3"/>
      <c r="H29" s="156"/>
      <c r="I29" s="160"/>
      <c r="J29" s="160"/>
      <c r="K29" s="160"/>
      <c r="L29" s="160"/>
      <c r="M29" s="157"/>
      <c r="N29" s="3"/>
      <c r="O29" s="3"/>
      <c r="P29" s="156"/>
      <c r="Q29" s="160"/>
      <c r="R29" s="157"/>
      <c r="S29" s="3"/>
      <c r="T29" s="3"/>
      <c r="U29" s="4"/>
    </row>
    <row r="30" spans="2:21" ht="15.75" customHeight="1" x14ac:dyDescent="0.25">
      <c r="B30" s="156"/>
      <c r="C30" s="1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/>
    </row>
    <row r="31" spans="2:21" ht="15" customHeight="1" x14ac:dyDescent="0.25">
      <c r="B31" s="6"/>
      <c r="C31" s="3"/>
      <c r="D31" s="3"/>
      <c r="E31" s="3"/>
      <c r="F31" s="3"/>
      <c r="G31" s="3"/>
      <c r="H31" s="152"/>
      <c r="I31" s="158"/>
      <c r="J31" s="158"/>
      <c r="K31" s="158"/>
      <c r="L31" s="158"/>
      <c r="M31" s="153"/>
      <c r="N31" s="3"/>
      <c r="O31" s="3"/>
      <c r="P31" s="3"/>
      <c r="Q31" s="3"/>
      <c r="R31" s="3"/>
      <c r="S31" s="3"/>
      <c r="T31" s="3"/>
      <c r="U31" s="4"/>
    </row>
    <row r="32" spans="2:21" ht="15" customHeight="1" x14ac:dyDescent="0.25">
      <c r="B32" s="6"/>
      <c r="C32" s="3"/>
      <c r="D32" s="3"/>
      <c r="E32" s="3"/>
      <c r="F32" s="3"/>
      <c r="G32" s="3"/>
      <c r="H32" s="154"/>
      <c r="I32" s="159"/>
      <c r="J32" s="159"/>
      <c r="K32" s="159"/>
      <c r="L32" s="159"/>
      <c r="M32" s="155"/>
      <c r="N32" s="3"/>
      <c r="O32" s="3"/>
      <c r="P32" s="161" t="s">
        <v>3</v>
      </c>
      <c r="Q32" s="158"/>
      <c r="R32" s="158"/>
      <c r="S32" s="152"/>
      <c r="T32" s="158"/>
      <c r="U32" s="153"/>
    </row>
    <row r="33" spans="2:21" ht="15" customHeight="1" x14ac:dyDescent="0.25">
      <c r="B33" s="152" t="s">
        <v>4</v>
      </c>
      <c r="C33" s="153"/>
      <c r="D33" s="3"/>
      <c r="E33" s="3"/>
      <c r="F33" s="3"/>
      <c r="G33" s="3"/>
      <c r="H33" s="154"/>
      <c r="I33" s="159"/>
      <c r="J33" s="159"/>
      <c r="K33" s="159"/>
      <c r="L33" s="159"/>
      <c r="M33" s="155"/>
      <c r="N33" s="3"/>
      <c r="O33" s="3"/>
      <c r="P33" s="154"/>
      <c r="Q33" s="159"/>
      <c r="R33" s="159"/>
      <c r="S33" s="154"/>
      <c r="T33" s="159"/>
      <c r="U33" s="155"/>
    </row>
    <row r="34" spans="2:21" ht="15" customHeight="1" x14ac:dyDescent="0.25">
      <c r="B34" s="154"/>
      <c r="C34" s="155"/>
      <c r="D34" s="3"/>
      <c r="E34" s="3"/>
      <c r="F34" s="3"/>
      <c r="G34" s="5"/>
      <c r="H34" s="154"/>
      <c r="I34" s="159"/>
      <c r="J34" s="159"/>
      <c r="K34" s="159"/>
      <c r="L34" s="159"/>
      <c r="M34" s="155"/>
      <c r="N34" s="3"/>
      <c r="O34" s="3"/>
      <c r="P34" s="154"/>
      <c r="Q34" s="159"/>
      <c r="R34" s="159"/>
      <c r="S34" s="154"/>
      <c r="T34" s="159"/>
      <c r="U34" s="155"/>
    </row>
    <row r="35" spans="2:21" ht="15" customHeight="1" x14ac:dyDescent="0.25">
      <c r="B35" s="154"/>
      <c r="C35" s="155"/>
      <c r="D35" s="3"/>
      <c r="E35" s="3"/>
      <c r="F35" s="3"/>
      <c r="G35" s="3"/>
      <c r="H35" s="154"/>
      <c r="I35" s="159"/>
      <c r="J35" s="159"/>
      <c r="K35" s="159"/>
      <c r="L35" s="159"/>
      <c r="M35" s="155"/>
      <c r="N35" s="3"/>
      <c r="O35" s="3"/>
      <c r="P35" s="154"/>
      <c r="Q35" s="159"/>
      <c r="R35" s="159"/>
      <c r="S35" s="154"/>
      <c r="T35" s="159"/>
      <c r="U35" s="155"/>
    </row>
    <row r="36" spans="2:21" ht="15" customHeight="1" x14ac:dyDescent="0.25">
      <c r="B36" s="156"/>
      <c r="C36" s="157"/>
      <c r="D36" s="3"/>
      <c r="E36" s="3"/>
      <c r="F36" s="3"/>
      <c r="G36" s="3"/>
      <c r="H36" s="154"/>
      <c r="I36" s="159"/>
      <c r="J36" s="159"/>
      <c r="K36" s="159"/>
      <c r="L36" s="159"/>
      <c r="M36" s="155"/>
      <c r="N36" s="3"/>
      <c r="O36" s="3"/>
      <c r="P36" s="156"/>
      <c r="Q36" s="160"/>
      <c r="R36" s="160"/>
      <c r="S36" s="156"/>
      <c r="T36" s="160"/>
      <c r="U36" s="157"/>
    </row>
    <row r="37" spans="2:21" ht="15" customHeight="1" x14ac:dyDescent="0.25">
      <c r="B37" s="6"/>
      <c r="C37" s="3"/>
      <c r="D37" s="3"/>
      <c r="E37" s="3"/>
      <c r="F37" s="3"/>
      <c r="G37" s="3"/>
      <c r="H37" s="154"/>
      <c r="I37" s="159"/>
      <c r="J37" s="159"/>
      <c r="K37" s="159"/>
      <c r="L37" s="159"/>
      <c r="M37" s="155"/>
      <c r="N37" s="3"/>
      <c r="O37" s="3"/>
      <c r="P37" s="3"/>
      <c r="Q37" s="3"/>
      <c r="R37" s="3"/>
      <c r="S37" s="3"/>
      <c r="T37" s="3"/>
      <c r="U37" s="4"/>
    </row>
    <row r="38" spans="2:21" ht="15" customHeight="1" x14ac:dyDescent="0.25">
      <c r="B38" s="6"/>
      <c r="C38" s="3"/>
      <c r="D38" s="3"/>
      <c r="E38" s="3"/>
      <c r="F38" s="3"/>
      <c r="G38" s="3"/>
      <c r="H38" s="154"/>
      <c r="I38" s="159"/>
      <c r="J38" s="159"/>
      <c r="K38" s="159"/>
      <c r="L38" s="159"/>
      <c r="M38" s="155"/>
      <c r="N38" s="3"/>
      <c r="O38" s="3"/>
      <c r="P38" s="3"/>
      <c r="Q38" s="3"/>
      <c r="R38" s="3"/>
      <c r="S38" s="3"/>
      <c r="T38" s="3"/>
      <c r="U38" s="4"/>
    </row>
    <row r="39" spans="2:21" ht="15.75" customHeight="1" x14ac:dyDescent="0.25">
      <c r="B39" s="7"/>
      <c r="C39" s="8"/>
      <c r="D39" s="8"/>
      <c r="E39" s="8"/>
      <c r="F39" s="8"/>
      <c r="G39" s="8"/>
      <c r="H39" s="156"/>
      <c r="I39" s="160"/>
      <c r="J39" s="160"/>
      <c r="K39" s="160"/>
      <c r="L39" s="160"/>
      <c r="M39" s="157"/>
      <c r="N39" s="8"/>
      <c r="O39" s="8"/>
      <c r="P39" s="8"/>
      <c r="Q39" s="8"/>
      <c r="R39" s="8"/>
      <c r="S39" s="8"/>
      <c r="T39" s="8"/>
      <c r="U39" s="9"/>
    </row>
    <row r="40" spans="2:21" ht="13.5" customHeight="1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/>
    </row>
    <row r="41" spans="2:21" ht="16.5" customHeight="1" x14ac:dyDescent="0.25">
      <c r="B41" s="164" t="s">
        <v>5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6"/>
    </row>
    <row r="42" spans="2:21" ht="27" customHeight="1" x14ac:dyDescent="0.25">
      <c r="B42" s="6" t="s">
        <v>6</v>
      </c>
      <c r="C42" s="167"/>
      <c r="D42" s="168"/>
      <c r="E42" s="169"/>
      <c r="F42" s="11"/>
      <c r="G42" s="164" t="s">
        <v>7</v>
      </c>
      <c r="H42" s="165"/>
      <c r="I42" s="165"/>
      <c r="J42" s="166"/>
      <c r="K42" s="3"/>
      <c r="L42" s="152" t="s">
        <v>8</v>
      </c>
      <c r="M42" s="162"/>
      <c r="N42" s="162"/>
      <c r="O42" s="162"/>
      <c r="P42" s="162"/>
      <c r="Q42" s="162"/>
      <c r="R42" s="162"/>
      <c r="S42" s="162"/>
      <c r="T42" s="163"/>
      <c r="U42" s="4"/>
    </row>
    <row r="43" spans="2:21" x14ac:dyDescent="0.25">
      <c r="B43" s="6" t="s">
        <v>6</v>
      </c>
      <c r="C43" s="12"/>
      <c r="D43" s="3" t="s">
        <v>9</v>
      </c>
      <c r="E43" s="13">
        <v>98</v>
      </c>
      <c r="F43" s="3"/>
      <c r="G43" s="152"/>
      <c r="H43" s="158"/>
      <c r="I43" s="158"/>
      <c r="J43" s="153"/>
      <c r="K43" s="3"/>
      <c r="L43" s="152"/>
      <c r="M43" s="158"/>
      <c r="N43" s="158"/>
      <c r="O43" s="158"/>
      <c r="P43" s="158"/>
      <c r="Q43" s="158"/>
      <c r="R43" s="158"/>
      <c r="S43" s="158"/>
      <c r="T43" s="153"/>
      <c r="U43" s="4"/>
    </row>
    <row r="44" spans="2:21" ht="2.25" customHeight="1" x14ac:dyDescent="0.25">
      <c r="B44" s="6"/>
      <c r="C44" s="3"/>
      <c r="D44" s="3"/>
      <c r="E44" s="3"/>
      <c r="F44" s="3"/>
      <c r="G44" s="154"/>
      <c r="H44" s="159"/>
      <c r="I44" s="159"/>
      <c r="J44" s="155"/>
      <c r="K44" s="3"/>
      <c r="L44" s="154"/>
      <c r="M44" s="159"/>
      <c r="N44" s="159"/>
      <c r="O44" s="159"/>
      <c r="P44" s="159"/>
      <c r="Q44" s="159"/>
      <c r="R44" s="159"/>
      <c r="S44" s="159"/>
      <c r="T44" s="155"/>
      <c r="U44" s="4"/>
    </row>
    <row r="45" spans="2:21" x14ac:dyDescent="0.25">
      <c r="B45" s="6" t="s">
        <v>10</v>
      </c>
      <c r="C45" s="12"/>
      <c r="D45" s="3" t="s">
        <v>11</v>
      </c>
      <c r="E45" s="12" t="s">
        <v>12</v>
      </c>
      <c r="F45" s="3"/>
      <c r="G45" s="154"/>
      <c r="H45" s="159"/>
      <c r="I45" s="159"/>
      <c r="J45" s="155"/>
      <c r="K45" s="3"/>
      <c r="L45" s="154"/>
      <c r="M45" s="159"/>
      <c r="N45" s="159"/>
      <c r="O45" s="159"/>
      <c r="P45" s="159"/>
      <c r="Q45" s="159"/>
      <c r="R45" s="159"/>
      <c r="S45" s="159"/>
      <c r="T45" s="155"/>
      <c r="U45" s="4"/>
    </row>
    <row r="46" spans="2:21" ht="3.75" customHeight="1" x14ac:dyDescent="0.25">
      <c r="B46" s="6"/>
      <c r="C46" s="14"/>
      <c r="D46" s="3"/>
      <c r="E46" s="3"/>
      <c r="F46" s="3"/>
      <c r="G46" s="154"/>
      <c r="H46" s="159"/>
      <c r="I46" s="159"/>
      <c r="J46" s="155"/>
      <c r="K46" s="3"/>
      <c r="L46" s="154"/>
      <c r="M46" s="159"/>
      <c r="N46" s="159"/>
      <c r="O46" s="159"/>
      <c r="P46" s="159"/>
      <c r="Q46" s="159"/>
      <c r="R46" s="159"/>
      <c r="S46" s="159"/>
      <c r="T46" s="155"/>
      <c r="U46" s="4"/>
    </row>
    <row r="47" spans="2:21" ht="29.25" customHeight="1" x14ac:dyDescent="0.25">
      <c r="B47" s="6" t="s">
        <v>13</v>
      </c>
      <c r="C47" s="12"/>
      <c r="D47" s="3" t="s">
        <v>14</v>
      </c>
      <c r="E47" s="12"/>
      <c r="F47" s="3"/>
      <c r="G47" s="154"/>
      <c r="H47" s="159"/>
      <c r="I47" s="159"/>
      <c r="J47" s="155"/>
      <c r="K47" s="3"/>
      <c r="L47" s="154"/>
      <c r="M47" s="159"/>
      <c r="N47" s="159"/>
      <c r="O47" s="159"/>
      <c r="P47" s="159"/>
      <c r="Q47" s="159"/>
      <c r="R47" s="159"/>
      <c r="S47" s="159"/>
      <c r="T47" s="155"/>
      <c r="U47" s="4"/>
    </row>
    <row r="48" spans="2:21" ht="3.75" customHeight="1" x14ac:dyDescent="0.25">
      <c r="B48" s="6"/>
      <c r="C48" s="3"/>
      <c r="D48" s="3"/>
      <c r="E48" s="3"/>
      <c r="F48" s="3"/>
      <c r="G48" s="154"/>
      <c r="H48" s="159"/>
      <c r="I48" s="159"/>
      <c r="J48" s="155"/>
      <c r="K48" s="3"/>
      <c r="L48" s="154"/>
      <c r="M48" s="159"/>
      <c r="N48" s="159"/>
      <c r="O48" s="159"/>
      <c r="P48" s="159"/>
      <c r="Q48" s="159"/>
      <c r="R48" s="159"/>
      <c r="S48" s="159"/>
      <c r="T48" s="155"/>
      <c r="U48" s="4"/>
    </row>
    <row r="49" spans="2:21" ht="25.5" customHeight="1" x14ac:dyDescent="0.25">
      <c r="B49" s="6" t="s">
        <v>15</v>
      </c>
      <c r="C49" s="170"/>
      <c r="D49" s="171"/>
      <c r="E49" s="172"/>
      <c r="F49" s="3"/>
      <c r="G49" s="154"/>
      <c r="H49" s="159"/>
      <c r="I49" s="159"/>
      <c r="J49" s="155"/>
      <c r="K49" s="3"/>
      <c r="L49" s="154"/>
      <c r="M49" s="159"/>
      <c r="N49" s="159"/>
      <c r="O49" s="159"/>
      <c r="P49" s="159"/>
      <c r="Q49" s="159"/>
      <c r="R49" s="159"/>
      <c r="S49" s="159"/>
      <c r="T49" s="155"/>
      <c r="U49" s="4"/>
    </row>
    <row r="50" spans="2:21" ht="3" customHeight="1" x14ac:dyDescent="0.25">
      <c r="B50" s="6"/>
      <c r="C50" s="3"/>
      <c r="D50" s="3"/>
      <c r="E50" s="3"/>
      <c r="F50" s="3"/>
      <c r="G50" s="154"/>
      <c r="H50" s="159"/>
      <c r="I50" s="159"/>
      <c r="J50" s="155"/>
      <c r="K50" s="3"/>
      <c r="L50" s="154"/>
      <c r="M50" s="159"/>
      <c r="N50" s="159"/>
      <c r="O50" s="159"/>
      <c r="P50" s="159"/>
      <c r="Q50" s="159"/>
      <c r="R50" s="159"/>
      <c r="S50" s="159"/>
      <c r="T50" s="155"/>
      <c r="U50" s="4"/>
    </row>
    <row r="51" spans="2:21" ht="13.5" customHeight="1" x14ac:dyDescent="0.25">
      <c r="B51" s="6" t="s">
        <v>16</v>
      </c>
      <c r="C51" s="170"/>
      <c r="D51" s="171"/>
      <c r="E51" s="172"/>
      <c r="F51" s="3"/>
      <c r="G51" s="156"/>
      <c r="H51" s="160"/>
      <c r="I51" s="160"/>
      <c r="J51" s="157"/>
      <c r="K51" s="3"/>
      <c r="L51" s="154"/>
      <c r="M51" s="159"/>
      <c r="N51" s="159"/>
      <c r="O51" s="159"/>
      <c r="P51" s="159"/>
      <c r="Q51" s="159"/>
      <c r="R51" s="159"/>
      <c r="S51" s="159"/>
      <c r="T51" s="155"/>
      <c r="U51" s="4"/>
    </row>
    <row r="52" spans="2:21" ht="2.25" customHeight="1" x14ac:dyDescent="0.25">
      <c r="B52" s="6"/>
      <c r="C52" s="3"/>
      <c r="D52" s="3"/>
      <c r="E52" s="3"/>
      <c r="F52" s="3"/>
      <c r="G52" s="3"/>
      <c r="H52" s="3"/>
      <c r="I52" s="3"/>
      <c r="J52" s="3"/>
      <c r="K52" s="3"/>
      <c r="L52" s="154"/>
      <c r="M52" s="159"/>
      <c r="N52" s="159"/>
      <c r="O52" s="159"/>
      <c r="P52" s="159"/>
      <c r="Q52" s="159"/>
      <c r="R52" s="159"/>
      <c r="S52" s="159"/>
      <c r="T52" s="155"/>
      <c r="U52" s="4"/>
    </row>
    <row r="53" spans="2:21" ht="13.5" customHeight="1" x14ac:dyDescent="0.25">
      <c r="B53" s="6" t="s">
        <v>17</v>
      </c>
      <c r="C53" s="170"/>
      <c r="D53" s="171"/>
      <c r="E53" s="172"/>
      <c r="F53" s="3"/>
      <c r="G53" s="10" t="s">
        <v>18</v>
      </c>
      <c r="H53" s="173"/>
      <c r="I53" s="162"/>
      <c r="J53" s="174"/>
      <c r="K53" s="3"/>
      <c r="L53" s="156"/>
      <c r="M53" s="160"/>
      <c r="N53" s="160"/>
      <c r="O53" s="160"/>
      <c r="P53" s="160"/>
      <c r="Q53" s="160"/>
      <c r="R53" s="160"/>
      <c r="S53" s="160"/>
      <c r="T53" s="157"/>
      <c r="U53" s="4"/>
    </row>
    <row r="54" spans="2:21" ht="15" customHeight="1" x14ac:dyDescent="0.25">
      <c r="B54" s="176" t="s">
        <v>19</v>
      </c>
      <c r="C54" s="177"/>
      <c r="D54" s="177"/>
      <c r="E54" s="177"/>
      <c r="F54" s="177"/>
      <c r="G54" s="177"/>
      <c r="H54" s="177"/>
      <c r="I54" s="177"/>
      <c r="J54" s="178"/>
      <c r="K54" s="4"/>
      <c r="L54" s="164" t="s">
        <v>20</v>
      </c>
      <c r="M54" s="165"/>
      <c r="N54" s="165"/>
      <c r="O54" s="165"/>
      <c r="P54" s="165"/>
      <c r="Q54" s="165"/>
      <c r="R54" s="165"/>
      <c r="S54" s="165"/>
      <c r="T54" s="166"/>
      <c r="U54" s="4"/>
    </row>
    <row r="55" spans="2:21" ht="15" customHeight="1" x14ac:dyDescent="0.25">
      <c r="B55" s="179"/>
      <c r="C55" s="180"/>
      <c r="D55" s="180"/>
      <c r="E55" s="180"/>
      <c r="F55" s="180"/>
      <c r="G55" s="180"/>
      <c r="H55" s="180"/>
      <c r="I55" s="180"/>
      <c r="J55" s="181"/>
      <c r="K55" s="3"/>
      <c r="L55" s="10" t="s">
        <v>21</v>
      </c>
      <c r="M55" s="164" t="s">
        <v>22</v>
      </c>
      <c r="N55" s="165"/>
      <c r="O55" s="165"/>
      <c r="P55" s="165"/>
      <c r="Q55" s="165"/>
      <c r="R55" s="165"/>
      <c r="S55" s="166"/>
      <c r="T55" s="10" t="s">
        <v>23</v>
      </c>
      <c r="U55" s="4"/>
    </row>
    <row r="56" spans="2:21" ht="13.5" customHeight="1" x14ac:dyDescent="0.25">
      <c r="B56" s="182"/>
      <c r="C56" s="183"/>
      <c r="D56" s="183"/>
      <c r="E56" s="183"/>
      <c r="F56" s="183"/>
      <c r="G56" s="183"/>
      <c r="H56" s="183"/>
      <c r="I56" s="183"/>
      <c r="J56" s="184"/>
      <c r="K56" s="3"/>
      <c r="L56" s="2"/>
      <c r="M56" s="152" t="s">
        <v>24</v>
      </c>
      <c r="N56" s="162"/>
      <c r="O56" s="162"/>
      <c r="P56" s="162"/>
      <c r="Q56" s="162"/>
      <c r="R56" s="162"/>
      <c r="S56" s="163"/>
      <c r="T56" s="2"/>
      <c r="U56" s="4"/>
    </row>
    <row r="57" spans="2:21" ht="13.5" customHeight="1" x14ac:dyDescent="0.25">
      <c r="B57" s="154"/>
      <c r="C57" s="159"/>
      <c r="D57" s="159"/>
      <c r="E57" s="159"/>
      <c r="F57" s="159"/>
      <c r="G57" s="159"/>
      <c r="H57" s="159"/>
      <c r="I57" s="159"/>
      <c r="J57" s="185"/>
      <c r="K57" s="3"/>
      <c r="L57" s="2"/>
      <c r="M57" s="152" t="s">
        <v>25</v>
      </c>
      <c r="N57" s="162"/>
      <c r="O57" s="162"/>
      <c r="P57" s="162"/>
      <c r="Q57" s="162"/>
      <c r="R57" s="162"/>
      <c r="S57" s="163"/>
      <c r="T57" s="2"/>
      <c r="U57" s="4"/>
    </row>
    <row r="58" spans="2:21" ht="13.5" customHeight="1" x14ac:dyDescent="0.25">
      <c r="B58" s="154"/>
      <c r="C58" s="159"/>
      <c r="D58" s="159"/>
      <c r="E58" s="159"/>
      <c r="F58" s="159"/>
      <c r="G58" s="159"/>
      <c r="H58" s="159"/>
      <c r="I58" s="159"/>
      <c r="J58" s="185"/>
      <c r="K58" s="3"/>
      <c r="L58" s="2"/>
      <c r="M58" s="152" t="s">
        <v>26</v>
      </c>
      <c r="N58" s="162"/>
      <c r="O58" s="162"/>
      <c r="P58" s="162"/>
      <c r="Q58" s="162"/>
      <c r="R58" s="162"/>
      <c r="S58" s="163"/>
      <c r="T58" s="2"/>
      <c r="U58" s="4"/>
    </row>
    <row r="59" spans="2:21" ht="13.5" customHeight="1" x14ac:dyDescent="0.25">
      <c r="B59" s="154"/>
      <c r="C59" s="159"/>
      <c r="D59" s="159"/>
      <c r="E59" s="159"/>
      <c r="F59" s="159"/>
      <c r="G59" s="159"/>
      <c r="H59" s="159"/>
      <c r="I59" s="159"/>
      <c r="J59" s="185"/>
      <c r="K59" s="3"/>
      <c r="L59" s="2"/>
      <c r="M59" s="152" t="s">
        <v>27</v>
      </c>
      <c r="N59" s="162"/>
      <c r="O59" s="162"/>
      <c r="P59" s="162"/>
      <c r="Q59" s="162"/>
      <c r="R59" s="162"/>
      <c r="S59" s="163"/>
      <c r="T59" s="2"/>
      <c r="U59" s="4"/>
    </row>
    <row r="60" spans="2:21" ht="13.5" customHeight="1" x14ac:dyDescent="0.25">
      <c r="B60" s="154"/>
      <c r="C60" s="159"/>
      <c r="D60" s="159"/>
      <c r="E60" s="159"/>
      <c r="F60" s="159"/>
      <c r="G60" s="159"/>
      <c r="H60" s="159"/>
      <c r="I60" s="159"/>
      <c r="J60" s="185"/>
      <c r="K60" s="3"/>
      <c r="L60" s="2"/>
      <c r="M60" s="152" t="s">
        <v>28</v>
      </c>
      <c r="N60" s="162"/>
      <c r="O60" s="162"/>
      <c r="P60" s="162"/>
      <c r="Q60" s="162"/>
      <c r="R60" s="162"/>
      <c r="S60" s="163"/>
      <c r="T60" s="2"/>
      <c r="U60" s="4"/>
    </row>
    <row r="61" spans="2:21" ht="13.5" customHeight="1" x14ac:dyDescent="0.25">
      <c r="B61" s="154"/>
      <c r="C61" s="159"/>
      <c r="D61" s="159"/>
      <c r="E61" s="159"/>
      <c r="F61" s="159"/>
      <c r="G61" s="159"/>
      <c r="H61" s="159"/>
      <c r="I61" s="159"/>
      <c r="J61" s="185"/>
      <c r="K61" s="3"/>
      <c r="L61" s="2"/>
      <c r="M61" s="152" t="s">
        <v>29</v>
      </c>
      <c r="N61" s="162"/>
      <c r="O61" s="162"/>
      <c r="P61" s="162"/>
      <c r="Q61" s="162"/>
      <c r="R61" s="162"/>
      <c r="S61" s="163"/>
      <c r="T61" s="2"/>
      <c r="U61" s="4"/>
    </row>
    <row r="62" spans="2:21" ht="13.5" customHeight="1" x14ac:dyDescent="0.25">
      <c r="B62" s="154"/>
      <c r="C62" s="159"/>
      <c r="D62" s="159"/>
      <c r="E62" s="159"/>
      <c r="F62" s="159"/>
      <c r="G62" s="159"/>
      <c r="H62" s="159"/>
      <c r="I62" s="159"/>
      <c r="J62" s="185"/>
      <c r="K62" s="3"/>
      <c r="L62" s="2"/>
      <c r="M62" s="152" t="s">
        <v>30</v>
      </c>
      <c r="N62" s="162"/>
      <c r="O62" s="162"/>
      <c r="P62" s="162"/>
      <c r="Q62" s="162"/>
      <c r="R62" s="162"/>
      <c r="S62" s="163"/>
      <c r="T62" s="2"/>
      <c r="U62" s="4"/>
    </row>
    <row r="63" spans="2:21" ht="13.5" customHeight="1" x14ac:dyDescent="0.25">
      <c r="B63" s="154"/>
      <c r="C63" s="159"/>
      <c r="D63" s="159"/>
      <c r="E63" s="159"/>
      <c r="F63" s="159"/>
      <c r="G63" s="159"/>
      <c r="H63" s="159"/>
      <c r="I63" s="159"/>
      <c r="J63" s="185"/>
      <c r="K63" s="3"/>
      <c r="L63" s="2"/>
      <c r="M63" s="152" t="s">
        <v>31</v>
      </c>
      <c r="N63" s="162"/>
      <c r="O63" s="162"/>
      <c r="P63" s="162"/>
      <c r="Q63" s="162"/>
      <c r="R63" s="162"/>
      <c r="S63" s="163"/>
      <c r="T63" s="2"/>
      <c r="U63" s="4"/>
    </row>
    <row r="64" spans="2:21" ht="13.5" customHeight="1" x14ac:dyDescent="0.25">
      <c r="B64" s="154"/>
      <c r="C64" s="159"/>
      <c r="D64" s="159"/>
      <c r="E64" s="159"/>
      <c r="F64" s="159"/>
      <c r="G64" s="159"/>
      <c r="H64" s="159"/>
      <c r="I64" s="159"/>
      <c r="J64" s="185"/>
      <c r="K64" s="3"/>
      <c r="L64" s="2"/>
      <c r="M64" s="152" t="s">
        <v>32</v>
      </c>
      <c r="N64" s="162"/>
      <c r="O64" s="162"/>
      <c r="P64" s="162"/>
      <c r="Q64" s="162"/>
      <c r="R64" s="162"/>
      <c r="S64" s="163"/>
      <c r="T64" s="2"/>
      <c r="U64" s="4"/>
    </row>
    <row r="65" spans="2:21" ht="13.5" customHeight="1" x14ac:dyDescent="0.25">
      <c r="B65" s="154"/>
      <c r="C65" s="159"/>
      <c r="D65" s="159"/>
      <c r="E65" s="159"/>
      <c r="F65" s="159"/>
      <c r="G65" s="159"/>
      <c r="H65" s="159"/>
      <c r="I65" s="159"/>
      <c r="J65" s="185"/>
      <c r="K65" s="3"/>
      <c r="L65" s="2"/>
      <c r="M65" s="152" t="s">
        <v>33</v>
      </c>
      <c r="N65" s="162"/>
      <c r="O65" s="162"/>
      <c r="P65" s="162"/>
      <c r="Q65" s="162"/>
      <c r="R65" s="162"/>
      <c r="S65" s="163"/>
      <c r="T65" s="2"/>
      <c r="U65" s="4"/>
    </row>
    <row r="66" spans="2:21" ht="13.5" customHeight="1" x14ac:dyDescent="0.25">
      <c r="B66" s="154"/>
      <c r="C66" s="159"/>
      <c r="D66" s="159"/>
      <c r="E66" s="159"/>
      <c r="F66" s="159"/>
      <c r="G66" s="159"/>
      <c r="H66" s="159"/>
      <c r="I66" s="159"/>
      <c r="J66" s="185"/>
      <c r="K66" s="3"/>
      <c r="L66" s="2"/>
      <c r="M66" s="152"/>
      <c r="N66" s="162"/>
      <c r="O66" s="162"/>
      <c r="P66" s="162"/>
      <c r="Q66" s="162"/>
      <c r="R66" s="162"/>
      <c r="S66" s="163"/>
      <c r="T66" s="2"/>
      <c r="U66" s="4"/>
    </row>
    <row r="67" spans="2:21" ht="13.5" customHeight="1" x14ac:dyDescent="0.25">
      <c r="B67" s="154"/>
      <c r="C67" s="159"/>
      <c r="D67" s="159"/>
      <c r="E67" s="159"/>
      <c r="F67" s="159"/>
      <c r="G67" s="159"/>
      <c r="H67" s="159"/>
      <c r="I67" s="159"/>
      <c r="J67" s="185"/>
      <c r="K67" s="3"/>
      <c r="L67" s="2"/>
      <c r="M67" s="152"/>
      <c r="N67" s="162"/>
      <c r="O67" s="162"/>
      <c r="P67" s="162"/>
      <c r="Q67" s="162"/>
      <c r="R67" s="162"/>
      <c r="S67" s="163"/>
      <c r="T67" s="2"/>
      <c r="U67" s="4"/>
    </row>
    <row r="68" spans="2:21" ht="115.5" customHeight="1" x14ac:dyDescent="0.25">
      <c r="B68" s="156"/>
      <c r="C68" s="160"/>
      <c r="D68" s="160"/>
      <c r="E68" s="160"/>
      <c r="F68" s="160"/>
      <c r="G68" s="160"/>
      <c r="H68" s="160"/>
      <c r="I68" s="160"/>
      <c r="J68" s="186"/>
      <c r="K68" s="8"/>
      <c r="L68" s="8"/>
      <c r="M68" s="175"/>
      <c r="N68" s="160"/>
      <c r="O68" s="160"/>
      <c r="P68" s="160"/>
      <c r="Q68" s="160"/>
      <c r="R68" s="160"/>
      <c r="S68" s="160"/>
      <c r="T68" s="8"/>
      <c r="U68" s="9"/>
    </row>
  </sheetData>
  <mergeCells count="35">
    <mergeCell ref="M68:S68"/>
    <mergeCell ref="B54:J55"/>
    <mergeCell ref="L54:T54"/>
    <mergeCell ref="M55:S55"/>
    <mergeCell ref="B56:J68"/>
    <mergeCell ref="M56:S56"/>
    <mergeCell ref="M57:S57"/>
    <mergeCell ref="M58:S58"/>
    <mergeCell ref="M59:S59"/>
    <mergeCell ref="M60:S60"/>
    <mergeCell ref="M61:S61"/>
    <mergeCell ref="M62:S62"/>
    <mergeCell ref="M63:S63"/>
    <mergeCell ref="M64:S64"/>
    <mergeCell ref="M65:S65"/>
    <mergeCell ref="M66:S66"/>
    <mergeCell ref="M67:S67"/>
    <mergeCell ref="B41:U41"/>
    <mergeCell ref="C42:E42"/>
    <mergeCell ref="G42:J42"/>
    <mergeCell ref="L42:T42"/>
    <mergeCell ref="G43:J51"/>
    <mergeCell ref="L43:T53"/>
    <mergeCell ref="C49:E49"/>
    <mergeCell ref="C51:E51"/>
    <mergeCell ref="C53:E53"/>
    <mergeCell ref="H53:J53"/>
    <mergeCell ref="B2:U25"/>
    <mergeCell ref="B26:C30"/>
    <mergeCell ref="H26:M29"/>
    <mergeCell ref="P26:R29"/>
    <mergeCell ref="H31:M39"/>
    <mergeCell ref="P32:R36"/>
    <mergeCell ref="S32:U36"/>
    <mergeCell ref="B33:C36"/>
  </mergeCells>
  <pageMargins left="0" right="0" top="0" bottom="0" header="0" footer="0"/>
  <pageSetup paperSize="9" scale="6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zoomScale="70" workbookViewId="0">
      <selection activeCell="S18" sqref="S18"/>
    </sheetView>
  </sheetViews>
  <sheetFormatPr defaultColWidth="7.85546875" defaultRowHeight="18" x14ac:dyDescent="0.25"/>
  <cols>
    <col min="1" max="1" width="25" style="15" customWidth="1"/>
    <col min="2" max="2" width="31.5703125" style="15" hidden="1" customWidth="1"/>
    <col min="3" max="3" width="18.85546875" style="15" customWidth="1"/>
    <col min="4" max="4" width="17.7109375" style="15" customWidth="1"/>
    <col min="5" max="5" width="18.42578125" style="15" customWidth="1"/>
    <col min="6" max="6" width="17.42578125" style="15" customWidth="1"/>
    <col min="7" max="7" width="13.28515625" style="15" customWidth="1"/>
    <col min="8" max="8" width="12" style="15" customWidth="1"/>
    <col min="9" max="9" width="29.7109375" style="15" bestFit="1" customWidth="1"/>
    <col min="10" max="10" width="7.85546875" style="15" customWidth="1"/>
    <col min="11" max="16384" width="7.85546875" style="15"/>
  </cols>
  <sheetData>
    <row r="1" spans="1:10" ht="18" customHeight="1" x14ac:dyDescent="0.25">
      <c r="A1" s="16"/>
      <c r="B1" s="17"/>
      <c r="C1" s="223" t="s">
        <v>34</v>
      </c>
      <c r="D1" s="224"/>
      <c r="E1" s="18" t="s">
        <v>35</v>
      </c>
      <c r="F1" s="19" t="s">
        <v>36</v>
      </c>
      <c r="G1" s="20" t="s">
        <v>37</v>
      </c>
      <c r="H1" s="21"/>
      <c r="I1" s="22"/>
    </row>
    <row r="2" spans="1:10" ht="18" customHeight="1" x14ac:dyDescent="0.25">
      <c r="A2" s="23"/>
      <c r="B2" s="24"/>
      <c r="C2" s="188"/>
      <c r="D2" s="212"/>
      <c r="E2" s="25" t="s">
        <v>38</v>
      </c>
      <c r="F2" s="26">
        <v>11529</v>
      </c>
      <c r="G2" s="27" t="s">
        <v>39</v>
      </c>
      <c r="H2" s="28"/>
      <c r="I2" s="29"/>
    </row>
    <row r="3" spans="1:10" ht="18" customHeight="1" x14ac:dyDescent="0.25">
      <c r="A3" s="23"/>
      <c r="B3" s="24"/>
      <c r="C3" s="188"/>
      <c r="D3" s="212"/>
      <c r="E3" s="230" t="s">
        <v>40</v>
      </c>
      <c r="F3" s="188"/>
      <c r="G3" s="212"/>
      <c r="H3" s="28"/>
      <c r="I3" s="29"/>
    </row>
    <row r="4" spans="1:10" ht="18" customHeight="1" x14ac:dyDescent="0.25">
      <c r="A4" s="23"/>
      <c r="B4" s="24"/>
      <c r="C4" s="188"/>
      <c r="D4" s="212"/>
      <c r="E4" s="231"/>
      <c r="F4" s="232"/>
      <c r="G4" s="218"/>
      <c r="H4" s="28"/>
      <c r="I4" s="29"/>
    </row>
    <row r="5" spans="1:10" ht="18" customHeight="1" x14ac:dyDescent="0.25">
      <c r="A5" s="23"/>
      <c r="B5" s="24"/>
      <c r="C5" s="188"/>
      <c r="D5" s="212"/>
      <c r="E5" s="239">
        <v>43024</v>
      </c>
      <c r="F5" s="188"/>
      <c r="G5" s="212"/>
      <c r="H5" s="28"/>
      <c r="I5" s="29"/>
    </row>
    <row r="6" spans="1:10" ht="18" customHeight="1" x14ac:dyDescent="0.25">
      <c r="A6" s="23"/>
      <c r="B6" s="24"/>
      <c r="C6" s="188"/>
      <c r="D6" s="212"/>
      <c r="E6" s="240"/>
      <c r="F6" s="196"/>
      <c r="G6" s="238"/>
      <c r="H6" s="28"/>
      <c r="I6" s="29"/>
    </row>
    <row r="7" spans="1:10" ht="18" customHeight="1" x14ac:dyDescent="0.25">
      <c r="A7" s="23"/>
      <c r="B7" s="24"/>
      <c r="C7" s="251" t="s">
        <v>41</v>
      </c>
      <c r="D7" s="212"/>
      <c r="E7" s="243" t="s">
        <v>42</v>
      </c>
      <c r="F7" s="195"/>
      <c r="G7" s="224"/>
      <c r="H7" s="30"/>
      <c r="I7" s="29"/>
    </row>
    <row r="8" spans="1:10" ht="18" customHeight="1" x14ac:dyDescent="0.25">
      <c r="A8" s="23"/>
      <c r="B8" s="24"/>
      <c r="C8" s="31" t="s">
        <v>43</v>
      </c>
      <c r="D8" s="32"/>
      <c r="E8" s="241" t="s">
        <v>44</v>
      </c>
      <c r="F8" s="188"/>
      <c r="G8" s="212"/>
      <c r="H8" s="28"/>
      <c r="I8" s="29"/>
    </row>
    <row r="9" spans="1:10" ht="18" customHeight="1" x14ac:dyDescent="0.25">
      <c r="A9" s="23"/>
      <c r="B9" s="24"/>
      <c r="C9" s="251"/>
      <c r="D9" s="212"/>
      <c r="E9" s="242"/>
      <c r="F9" s="188"/>
      <c r="G9" s="212"/>
      <c r="H9" s="28"/>
      <c r="I9" s="29"/>
    </row>
    <row r="10" spans="1:10" ht="18" customHeight="1" x14ac:dyDescent="0.3">
      <c r="A10" s="33"/>
      <c r="B10" s="34"/>
      <c r="C10" s="34"/>
      <c r="D10" s="35"/>
      <c r="E10" s="237" t="s">
        <v>45</v>
      </c>
      <c r="F10" s="196"/>
      <c r="G10" s="238"/>
      <c r="H10" s="36"/>
      <c r="I10" s="37"/>
    </row>
    <row r="11" spans="1:10" ht="5.25" customHeight="1" x14ac:dyDescent="0.25">
      <c r="A11" s="38"/>
      <c r="B11" s="39"/>
      <c r="C11" s="39"/>
      <c r="D11" s="39"/>
      <c r="E11" s="40"/>
      <c r="F11" s="40"/>
      <c r="G11" s="40"/>
      <c r="H11" s="41"/>
      <c r="I11" s="42"/>
      <c r="J11" s="43"/>
    </row>
    <row r="12" spans="1:10" ht="20.100000000000001" customHeight="1" x14ac:dyDescent="0.25">
      <c r="A12" s="252"/>
      <c r="B12" s="44"/>
      <c r="C12" s="197" t="s">
        <v>46</v>
      </c>
      <c r="D12" s="198"/>
      <c r="E12" s="244" t="s">
        <v>47</v>
      </c>
      <c r="F12" s="198"/>
      <c r="G12" s="253" t="s">
        <v>48</v>
      </c>
      <c r="H12" s="205"/>
      <c r="I12" s="206"/>
    </row>
    <row r="13" spans="1:10" ht="20.100000000000001" customHeight="1" x14ac:dyDescent="0.25">
      <c r="A13" s="242"/>
      <c r="B13" s="45"/>
      <c r="C13" s="199"/>
      <c r="D13" s="200"/>
      <c r="E13" s="199"/>
      <c r="F13" s="200"/>
      <c r="G13" s="255">
        <v>17100010164</v>
      </c>
      <c r="H13" s="221"/>
      <c r="I13" s="247"/>
    </row>
    <row r="14" spans="1:10" ht="20.100000000000001" customHeight="1" x14ac:dyDescent="0.25">
      <c r="A14" s="242"/>
      <c r="B14" s="45"/>
      <c r="C14" s="199"/>
      <c r="D14" s="200"/>
      <c r="E14" s="201"/>
      <c r="F14" s="202"/>
      <c r="G14" s="201"/>
      <c r="H14" s="232"/>
      <c r="I14" s="218"/>
    </row>
    <row r="15" spans="1:10" ht="20.100000000000001" customHeight="1" x14ac:dyDescent="0.3">
      <c r="A15" s="231"/>
      <c r="B15" s="46"/>
      <c r="C15" s="201"/>
      <c r="D15" s="202"/>
      <c r="E15" s="249"/>
      <c r="F15" s="250"/>
      <c r="G15" s="246" t="s">
        <v>49</v>
      </c>
      <c r="H15" s="221"/>
      <c r="I15" s="247"/>
    </row>
    <row r="16" spans="1:10" ht="22.5" customHeight="1" x14ac:dyDescent="0.35">
      <c r="A16" s="274"/>
      <c r="B16" s="45"/>
      <c r="C16" s="220"/>
      <c r="D16" s="221"/>
      <c r="E16" s="219" t="s">
        <v>50</v>
      </c>
      <c r="F16" s="188"/>
      <c r="G16" s="201"/>
      <c r="H16" s="232"/>
      <c r="I16" s="218"/>
    </row>
    <row r="17" spans="1:13" ht="20.100000000000001" customHeight="1" x14ac:dyDescent="0.25">
      <c r="A17" s="242"/>
      <c r="B17" s="45"/>
      <c r="C17" s="199"/>
      <c r="D17" s="188"/>
      <c r="E17" s="254"/>
      <c r="F17" s="200"/>
      <c r="G17" s="245"/>
      <c r="H17" s="221"/>
      <c r="I17" s="217"/>
      <c r="J17" s="47"/>
    </row>
    <row r="18" spans="1:13" ht="20.100000000000001" customHeight="1" x14ac:dyDescent="0.25">
      <c r="A18" s="242"/>
      <c r="B18" s="45"/>
      <c r="C18" s="199"/>
      <c r="D18" s="188"/>
      <c r="E18" s="199"/>
      <c r="F18" s="200"/>
      <c r="G18" s="201"/>
      <c r="H18" s="232"/>
      <c r="I18" s="218"/>
    </row>
    <row r="19" spans="1:13" ht="22.5" customHeight="1" x14ac:dyDescent="0.3">
      <c r="A19" s="242"/>
      <c r="B19" s="45"/>
      <c r="C19" s="199"/>
      <c r="D19" s="188"/>
      <c r="E19" s="235"/>
      <c r="F19" s="236"/>
      <c r="G19" s="48"/>
      <c r="H19" s="248" t="s">
        <v>51</v>
      </c>
      <c r="I19" s="49" t="s">
        <v>52</v>
      </c>
    </row>
    <row r="20" spans="1:13" ht="27.75" customHeight="1" x14ac:dyDescent="0.25">
      <c r="A20" s="240"/>
      <c r="B20" s="50"/>
      <c r="C20" s="222"/>
      <c r="D20" s="196"/>
      <c r="E20" s="51" t="s">
        <v>53</v>
      </c>
      <c r="F20" s="52">
        <v>14.96</v>
      </c>
      <c r="G20" s="53"/>
      <c r="H20" s="196"/>
      <c r="I20" s="54" t="s">
        <v>54</v>
      </c>
    </row>
    <row r="21" spans="1:13" ht="5.25" customHeight="1" x14ac:dyDescent="0.25">
      <c r="A21" s="55"/>
      <c r="B21" s="56"/>
      <c r="C21" s="40"/>
      <c r="D21" s="40"/>
      <c r="E21" s="40"/>
      <c r="F21" s="40"/>
      <c r="G21" s="40"/>
      <c r="H21" s="40"/>
      <c r="I21" s="42"/>
    </row>
    <row r="22" spans="1:13" ht="18" customHeight="1" x14ac:dyDescent="0.25">
      <c r="A22" s="208" t="s">
        <v>55</v>
      </c>
      <c r="B22" s="57"/>
      <c r="C22" s="225" t="s">
        <v>56</v>
      </c>
      <c r="D22" s="226"/>
      <c r="E22" s="227"/>
      <c r="F22" s="58" t="s">
        <v>57</v>
      </c>
      <c r="G22" s="276"/>
      <c r="H22" s="227"/>
      <c r="I22" s="59" t="s">
        <v>58</v>
      </c>
    </row>
    <row r="23" spans="1:13" x14ac:dyDescent="0.25">
      <c r="A23" s="209"/>
      <c r="B23" s="60"/>
      <c r="C23" s="233" t="s">
        <v>59</v>
      </c>
      <c r="D23" s="234"/>
      <c r="E23" s="229"/>
      <c r="F23" s="61">
        <v>75.3</v>
      </c>
      <c r="G23" s="228" t="e">
        <f>[1]MEDIÇÃO!D82</f>
        <v>#REF!</v>
      </c>
      <c r="H23" s="229"/>
      <c r="I23" s="62" t="e">
        <f t="shared" ref="I23:I26" si="0">G23*F23</f>
        <v>#REF!</v>
      </c>
    </row>
    <row r="24" spans="1:13" x14ac:dyDescent="0.25">
      <c r="A24" s="209"/>
      <c r="B24" s="60"/>
      <c r="C24" s="233" t="s">
        <v>60</v>
      </c>
      <c r="D24" s="234"/>
      <c r="E24" s="229"/>
      <c r="F24" s="61">
        <v>199.88</v>
      </c>
      <c r="G24" s="228" t="e">
        <f>[1]MEDIÇÃO!D83</f>
        <v>#REF!</v>
      </c>
      <c r="H24" s="229"/>
      <c r="I24" s="62" t="e">
        <f t="shared" si="0"/>
        <v>#REF!</v>
      </c>
    </row>
    <row r="25" spans="1:13" x14ac:dyDescent="0.25">
      <c r="A25" s="209"/>
      <c r="B25" s="60"/>
      <c r="C25" s="233" t="s">
        <v>61</v>
      </c>
      <c r="D25" s="234"/>
      <c r="E25" s="229"/>
      <c r="F25" s="61">
        <v>81.06</v>
      </c>
      <c r="G25" s="228" t="e">
        <f>[1]MEDIÇÃO!D84</f>
        <v>#REF!</v>
      </c>
      <c r="H25" s="229"/>
      <c r="I25" s="62" t="e">
        <f t="shared" si="0"/>
        <v>#REF!</v>
      </c>
    </row>
    <row r="26" spans="1:13" x14ac:dyDescent="0.25">
      <c r="A26" s="209"/>
      <c r="B26" s="60"/>
      <c r="C26" s="233" t="s">
        <v>62</v>
      </c>
      <c r="D26" s="234"/>
      <c r="E26" s="229"/>
      <c r="F26" s="61">
        <v>67.349999999999994</v>
      </c>
      <c r="G26" s="228" t="e">
        <f>[1]MEDIÇÃO!D85</f>
        <v>#REF!</v>
      </c>
      <c r="H26" s="229"/>
      <c r="I26" s="62" t="e">
        <f t="shared" si="0"/>
        <v>#REF!</v>
      </c>
    </row>
    <row r="27" spans="1:13" ht="21" customHeight="1" x14ac:dyDescent="0.25">
      <c r="A27" s="209"/>
      <c r="B27" s="60"/>
      <c r="C27" s="233"/>
      <c r="D27" s="234"/>
      <c r="E27" s="229"/>
      <c r="F27" s="61" t="s">
        <v>63</v>
      </c>
      <c r="G27" s="228"/>
      <c r="H27" s="229"/>
      <c r="I27" s="62"/>
    </row>
    <row r="28" spans="1:13" ht="18.75" customHeight="1" x14ac:dyDescent="0.25">
      <c r="A28" s="210"/>
      <c r="B28" s="60"/>
      <c r="C28" s="264"/>
      <c r="D28" s="265"/>
      <c r="E28" s="266"/>
      <c r="F28" s="63"/>
      <c r="G28" s="268"/>
      <c r="H28" s="269"/>
      <c r="I28" s="64"/>
      <c r="L28" s="15" t="s">
        <v>63</v>
      </c>
    </row>
    <row r="29" spans="1:13" ht="42" customHeight="1" x14ac:dyDescent="0.25">
      <c r="A29" s="65"/>
      <c r="B29" s="66"/>
      <c r="C29" s="67"/>
      <c r="D29" s="68"/>
      <c r="E29" s="69"/>
      <c r="F29" s="258" t="s">
        <v>64</v>
      </c>
      <c r="G29" s="226"/>
      <c r="H29" s="226"/>
      <c r="I29" s="70" t="e">
        <f>SUM(I23:I28)</f>
        <v>#REF!</v>
      </c>
    </row>
    <row r="30" spans="1:13" ht="37.5" customHeight="1" x14ac:dyDescent="0.25">
      <c r="A30" s="270" t="s">
        <v>65</v>
      </c>
      <c r="B30" s="188"/>
      <c r="C30" s="188"/>
      <c r="D30" s="188"/>
      <c r="E30" s="212"/>
      <c r="F30" s="215" t="s">
        <v>66</v>
      </c>
      <c r="G30" s="216"/>
      <c r="H30" s="216"/>
      <c r="I30" s="71" t="e">
        <f>[1]MEDIÇÃO!M83</f>
        <v>#REF!</v>
      </c>
    </row>
    <row r="31" spans="1:13" ht="24.75" customHeight="1" x14ac:dyDescent="0.25">
      <c r="A31" s="277" t="s">
        <v>67</v>
      </c>
      <c r="B31" s="196"/>
      <c r="C31" s="196"/>
      <c r="D31" s="196"/>
      <c r="E31" s="238"/>
      <c r="F31" s="214" t="s">
        <v>68</v>
      </c>
      <c r="G31" s="150"/>
      <c r="H31" s="151"/>
      <c r="I31" s="72" t="e">
        <f>SUM(I29:I30)</f>
        <v>#REF!</v>
      </c>
    </row>
    <row r="32" spans="1:13" ht="4.9000000000000004" customHeight="1" x14ac:dyDescent="0.25">
      <c r="A32" s="55"/>
      <c r="B32" s="40"/>
      <c r="C32" s="40"/>
      <c r="D32" s="40"/>
      <c r="E32" s="73"/>
      <c r="F32" s="40"/>
      <c r="G32" s="40"/>
      <c r="H32" s="40"/>
      <c r="I32" s="42"/>
      <c r="M32" s="15" t="s">
        <v>69</v>
      </c>
    </row>
    <row r="33" spans="1:9" ht="19.149999999999999" customHeight="1" x14ac:dyDescent="0.25">
      <c r="A33" s="204" t="s">
        <v>1</v>
      </c>
      <c r="B33" s="205"/>
      <c r="C33" s="205"/>
      <c r="D33" s="205"/>
      <c r="E33" s="205"/>
      <c r="F33" s="205"/>
      <c r="G33" s="205"/>
      <c r="H33" s="205"/>
      <c r="I33" s="206"/>
    </row>
    <row r="34" spans="1:9" ht="19.149999999999999" customHeight="1" x14ac:dyDescent="0.25">
      <c r="A34" s="256" t="s">
        <v>70</v>
      </c>
      <c r="B34" s="190"/>
      <c r="C34" s="190"/>
      <c r="D34" s="190"/>
      <c r="E34" s="190"/>
      <c r="F34" s="190"/>
      <c r="G34" s="190"/>
      <c r="H34" s="190"/>
      <c r="I34" s="257"/>
    </row>
    <row r="35" spans="1:9" ht="19.149999999999999" customHeight="1" x14ac:dyDescent="0.25">
      <c r="A35" s="271"/>
      <c r="B35" s="190"/>
      <c r="C35" s="190"/>
      <c r="D35" s="190"/>
      <c r="E35" s="190"/>
      <c r="F35" s="190"/>
      <c r="G35" s="190"/>
      <c r="H35" s="190"/>
      <c r="I35" s="257"/>
    </row>
    <row r="36" spans="1:9" ht="19.149999999999999" customHeight="1" x14ac:dyDescent="0.25">
      <c r="A36" s="271"/>
      <c r="B36" s="190"/>
      <c r="C36" s="190"/>
      <c r="D36" s="190"/>
      <c r="E36" s="190"/>
      <c r="F36" s="190"/>
      <c r="G36" s="190"/>
      <c r="H36" s="190"/>
      <c r="I36" s="257"/>
    </row>
    <row r="37" spans="1:9" ht="18.75" customHeight="1" x14ac:dyDescent="0.25">
      <c r="A37" s="191"/>
      <c r="B37" s="192"/>
      <c r="C37" s="192"/>
      <c r="D37" s="192"/>
      <c r="E37" s="192"/>
      <c r="F37" s="192"/>
      <c r="G37" s="192"/>
      <c r="H37" s="192"/>
      <c r="I37" s="193"/>
    </row>
    <row r="38" spans="1:9" ht="18.75" customHeight="1" x14ac:dyDescent="0.25">
      <c r="A38" s="204" t="s">
        <v>71</v>
      </c>
      <c r="B38" s="205"/>
      <c r="C38" s="205"/>
      <c r="D38" s="205"/>
      <c r="E38" s="205"/>
      <c r="F38" s="205"/>
      <c r="G38" s="205"/>
      <c r="H38" s="205"/>
      <c r="I38" s="206"/>
    </row>
    <row r="39" spans="1:9" ht="19.149999999999999" customHeight="1" x14ac:dyDescent="0.25">
      <c r="A39" s="256" t="s">
        <v>72</v>
      </c>
      <c r="B39" s="190"/>
      <c r="C39" s="190"/>
      <c r="D39" s="190"/>
      <c r="E39" s="190"/>
      <c r="F39" s="190"/>
      <c r="G39" s="190"/>
      <c r="H39" s="190"/>
      <c r="I39" s="257"/>
    </row>
    <row r="40" spans="1:9" ht="19.149999999999999" customHeight="1" x14ac:dyDescent="0.25">
      <c r="A40" s="272" t="s">
        <v>73</v>
      </c>
      <c r="B40" s="190"/>
      <c r="C40" s="190"/>
      <c r="D40" s="190"/>
      <c r="E40" s="190"/>
      <c r="F40" s="190"/>
      <c r="G40" s="190"/>
      <c r="H40" s="190"/>
      <c r="I40" s="257"/>
    </row>
    <row r="41" spans="1:9" ht="19.149999999999999" customHeight="1" x14ac:dyDescent="0.25">
      <c r="A41" s="272"/>
      <c r="B41" s="190"/>
      <c r="C41" s="190"/>
      <c r="D41" s="190"/>
      <c r="E41" s="190"/>
      <c r="F41" s="190"/>
      <c r="G41" s="190"/>
      <c r="H41" s="190"/>
      <c r="I41" s="257"/>
    </row>
    <row r="42" spans="1:9" ht="19.149999999999999" customHeight="1" x14ac:dyDescent="0.25">
      <c r="A42" s="213"/>
      <c r="B42" s="192"/>
      <c r="C42" s="192"/>
      <c r="D42" s="192"/>
      <c r="E42" s="192"/>
      <c r="F42" s="192"/>
      <c r="G42" s="192"/>
      <c r="H42" s="192"/>
      <c r="I42" s="193"/>
    </row>
    <row r="43" spans="1:9" ht="4.1500000000000004" customHeight="1" x14ac:dyDescent="0.25">
      <c r="A43" s="263"/>
      <c r="B43" s="260"/>
      <c r="C43" s="260"/>
      <c r="D43" s="260"/>
      <c r="E43" s="260"/>
      <c r="F43" s="260"/>
      <c r="G43" s="260"/>
      <c r="H43" s="260"/>
      <c r="I43" s="261"/>
    </row>
    <row r="44" spans="1:9" ht="24.95" customHeight="1" x14ac:dyDescent="0.25">
      <c r="A44" s="267" t="s">
        <v>74</v>
      </c>
      <c r="B44" s="205"/>
      <c r="C44" s="205"/>
      <c r="D44" s="282"/>
      <c r="E44" s="205"/>
      <c r="F44" s="205"/>
      <c r="G44" s="74"/>
      <c r="H44" s="75" t="s">
        <v>75</v>
      </c>
      <c r="I44" s="76"/>
    </row>
    <row r="45" spans="1:9" ht="24.95" customHeight="1" x14ac:dyDescent="0.25">
      <c r="A45" s="262" t="s">
        <v>76</v>
      </c>
      <c r="B45" s="190"/>
      <c r="C45" s="190"/>
      <c r="D45" s="275"/>
      <c r="E45" s="232"/>
      <c r="F45" s="232"/>
      <c r="G45" s="77"/>
      <c r="H45" s="78" t="s">
        <v>75</v>
      </c>
      <c r="I45" s="79"/>
    </row>
    <row r="46" spans="1:9" ht="24.95" customHeight="1" x14ac:dyDescent="0.25">
      <c r="A46" s="189" t="s">
        <v>77</v>
      </c>
      <c r="B46" s="190"/>
      <c r="C46" s="190"/>
      <c r="D46" s="279"/>
      <c r="E46" s="190"/>
      <c r="F46" s="190"/>
      <c r="G46" s="80"/>
      <c r="H46" s="78" t="s">
        <v>75</v>
      </c>
      <c r="I46" s="79"/>
    </row>
    <row r="47" spans="1:9" ht="24.95" customHeight="1" x14ac:dyDescent="0.25">
      <c r="A47" s="207" t="s">
        <v>78</v>
      </c>
      <c r="B47" s="192"/>
      <c r="C47" s="192"/>
      <c r="D47" s="203" t="s">
        <v>79</v>
      </c>
      <c r="E47" s="192"/>
      <c r="F47" s="192"/>
      <c r="G47" s="81"/>
      <c r="H47" s="82" t="s">
        <v>75</v>
      </c>
      <c r="I47" s="83"/>
    </row>
    <row r="48" spans="1:9" ht="3.75" customHeight="1" x14ac:dyDescent="0.25">
      <c r="A48" s="259"/>
      <c r="B48" s="260"/>
      <c r="C48" s="260"/>
      <c r="D48" s="260"/>
      <c r="E48" s="260"/>
      <c r="F48" s="260"/>
      <c r="G48" s="260"/>
      <c r="H48" s="260"/>
      <c r="I48" s="261"/>
    </row>
    <row r="49" spans="1:9" ht="16.899999999999999" customHeight="1" x14ac:dyDescent="0.25">
      <c r="A49" s="283" t="s">
        <v>80</v>
      </c>
      <c r="B49" s="260"/>
      <c r="C49" s="260"/>
      <c r="D49" s="260"/>
      <c r="E49" s="260"/>
      <c r="F49" s="260"/>
      <c r="G49" s="260"/>
      <c r="H49" s="260"/>
      <c r="I49" s="261"/>
    </row>
    <row r="50" spans="1:9" x14ac:dyDescent="0.25">
      <c r="A50" s="280" t="s">
        <v>81</v>
      </c>
      <c r="B50" s="195"/>
      <c r="C50" s="195"/>
      <c r="D50" s="195"/>
      <c r="E50" s="195"/>
      <c r="F50" s="194" t="s">
        <v>82</v>
      </c>
      <c r="G50" s="195"/>
      <c r="H50" s="278" t="s">
        <v>83</v>
      </c>
      <c r="I50" s="224"/>
    </row>
    <row r="51" spans="1:9" ht="18.75" customHeight="1" x14ac:dyDescent="0.25">
      <c r="A51" s="240"/>
      <c r="B51" s="196"/>
      <c r="C51" s="196"/>
      <c r="D51" s="196"/>
      <c r="E51" s="196"/>
      <c r="F51" s="196"/>
      <c r="G51" s="196"/>
      <c r="H51" s="196"/>
      <c r="I51" s="238"/>
    </row>
    <row r="52" spans="1:9" x14ac:dyDescent="0.25">
      <c r="A52" s="84"/>
      <c r="B52" s="85"/>
      <c r="C52" s="85"/>
      <c r="D52" s="85"/>
      <c r="E52" s="85"/>
      <c r="F52" s="85"/>
      <c r="G52" s="85"/>
      <c r="H52" s="85"/>
      <c r="I52" s="86"/>
    </row>
    <row r="53" spans="1:9" x14ac:dyDescent="0.25">
      <c r="A53" s="187" t="s">
        <v>84</v>
      </c>
      <c r="B53" s="188"/>
      <c r="C53" s="188"/>
      <c r="D53" s="188"/>
      <c r="E53" s="87"/>
      <c r="F53" s="211" t="s">
        <v>85</v>
      </c>
      <c r="G53" s="188"/>
      <c r="H53" s="188"/>
      <c r="I53" s="212"/>
    </row>
    <row r="54" spans="1:9" x14ac:dyDescent="0.25">
      <c r="A54" s="88"/>
      <c r="B54" s="87"/>
      <c r="C54" s="87"/>
      <c r="D54" s="87"/>
      <c r="E54" s="87"/>
      <c r="F54" s="87"/>
      <c r="G54" s="89"/>
      <c r="H54" s="89"/>
      <c r="I54" s="90"/>
    </row>
    <row r="55" spans="1:9" ht="20.100000000000001" customHeight="1" x14ac:dyDescent="0.25">
      <c r="A55" s="273" t="s">
        <v>86</v>
      </c>
      <c r="B55" s="188"/>
      <c r="C55" s="188"/>
      <c r="D55" s="188"/>
      <c r="E55" s="40"/>
      <c r="F55" s="281" t="s">
        <v>87</v>
      </c>
      <c r="G55" s="188"/>
      <c r="H55" s="188"/>
      <c r="I55" s="212"/>
    </row>
    <row r="56" spans="1:9" ht="18.75" customHeight="1" x14ac:dyDescent="0.25">
      <c r="A56" s="91"/>
      <c r="B56" s="92"/>
      <c r="C56" s="92"/>
      <c r="D56" s="93"/>
      <c r="E56" s="92"/>
      <c r="F56" s="92"/>
      <c r="G56" s="92"/>
      <c r="H56" s="92"/>
      <c r="I56" s="94"/>
    </row>
    <row r="59" spans="1:9" hidden="1" x14ac:dyDescent="0.25">
      <c r="A59" s="95" t="s">
        <v>88</v>
      </c>
      <c r="B59" s="96"/>
      <c r="C59" s="97"/>
    </row>
    <row r="60" spans="1:9" hidden="1" x14ac:dyDescent="0.25">
      <c r="A60" s="98" t="s">
        <v>89</v>
      </c>
      <c r="B60" s="99"/>
      <c r="C60" s="100"/>
    </row>
    <row r="61" spans="1:9" hidden="1" x14ac:dyDescent="0.25">
      <c r="A61" s="98" t="s">
        <v>90</v>
      </c>
      <c r="B61" s="99"/>
      <c r="C61" s="100"/>
    </row>
    <row r="62" spans="1:9" hidden="1" x14ac:dyDescent="0.25">
      <c r="A62" s="98" t="s">
        <v>84</v>
      </c>
      <c r="B62" s="99"/>
      <c r="C62" s="100"/>
    </row>
    <row r="63" spans="1:9" hidden="1" x14ac:dyDescent="0.25">
      <c r="A63" s="98" t="s">
        <v>91</v>
      </c>
      <c r="B63" s="99"/>
      <c r="C63" s="100"/>
    </row>
    <row r="64" spans="1:9" ht="18.75" hidden="1" customHeight="1" x14ac:dyDescent="0.25">
      <c r="A64" s="101" t="s">
        <v>92</v>
      </c>
      <c r="B64" s="102"/>
      <c r="C64" s="103"/>
      <c r="E64" s="104"/>
    </row>
    <row r="87" ht="15" customHeight="1" x14ac:dyDescent="0.25"/>
  </sheetData>
  <mergeCells count="71">
    <mergeCell ref="A55:D55"/>
    <mergeCell ref="A16:A20"/>
    <mergeCell ref="C26:E26"/>
    <mergeCell ref="D45:F45"/>
    <mergeCell ref="G22:H22"/>
    <mergeCell ref="A31:E31"/>
    <mergeCell ref="C25:E25"/>
    <mergeCell ref="H50:I51"/>
    <mergeCell ref="D46:F46"/>
    <mergeCell ref="A50:E51"/>
    <mergeCell ref="A36:I36"/>
    <mergeCell ref="G25:H25"/>
    <mergeCell ref="F55:I55"/>
    <mergeCell ref="A40:I40"/>
    <mergeCell ref="D44:F44"/>
    <mergeCell ref="A49:I49"/>
    <mergeCell ref="A39:I39"/>
    <mergeCell ref="A34:I34"/>
    <mergeCell ref="F29:H29"/>
    <mergeCell ref="A48:I48"/>
    <mergeCell ref="G26:H26"/>
    <mergeCell ref="A45:C45"/>
    <mergeCell ref="A43:I43"/>
    <mergeCell ref="C28:E28"/>
    <mergeCell ref="A44:C44"/>
    <mergeCell ref="A38:I38"/>
    <mergeCell ref="G28:H28"/>
    <mergeCell ref="A30:E30"/>
    <mergeCell ref="A35:I35"/>
    <mergeCell ref="A41:I41"/>
    <mergeCell ref="G24:H24"/>
    <mergeCell ref="H19:H20"/>
    <mergeCell ref="E15:F15"/>
    <mergeCell ref="C7:D7"/>
    <mergeCell ref="A12:A15"/>
    <mergeCell ref="C9:D9"/>
    <mergeCell ref="G12:I12"/>
    <mergeCell ref="E17:F18"/>
    <mergeCell ref="G13:I14"/>
    <mergeCell ref="C1:D6"/>
    <mergeCell ref="C22:E22"/>
    <mergeCell ref="G27:H27"/>
    <mergeCell ref="G23:H23"/>
    <mergeCell ref="E3:G4"/>
    <mergeCell ref="C27:E27"/>
    <mergeCell ref="C23:E23"/>
    <mergeCell ref="E19:F19"/>
    <mergeCell ref="E10:G10"/>
    <mergeCell ref="E5:G6"/>
    <mergeCell ref="E8:G9"/>
    <mergeCell ref="E7:G7"/>
    <mergeCell ref="E12:F14"/>
    <mergeCell ref="C24:E24"/>
    <mergeCell ref="G17:H18"/>
    <mergeCell ref="G15:I16"/>
    <mergeCell ref="A53:D53"/>
    <mergeCell ref="A46:C46"/>
    <mergeCell ref="A37:I37"/>
    <mergeCell ref="F50:G51"/>
    <mergeCell ref="C12:D15"/>
    <mergeCell ref="D47:F47"/>
    <mergeCell ref="A33:I33"/>
    <mergeCell ref="A47:C47"/>
    <mergeCell ref="A22:A28"/>
    <mergeCell ref="F53:I53"/>
    <mergeCell ref="A42:I42"/>
    <mergeCell ref="F31:H31"/>
    <mergeCell ref="F30:H30"/>
    <mergeCell ref="I17:I18"/>
    <mergeCell ref="E16:F16"/>
    <mergeCell ref="C16:D20"/>
  </mergeCells>
  <pageMargins left="0.511811024" right="0.511811024" top="0.78740157500000008" bottom="0.78740157500000008" header="0.31496062000000014" footer="0.3149606200000001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S18" sqref="S18"/>
    </sheetView>
  </sheetViews>
  <sheetFormatPr defaultColWidth="9.140625" defaultRowHeight="11.25" x14ac:dyDescent="0.2"/>
  <cols>
    <col min="1" max="2" width="15.140625" style="105" customWidth="1"/>
    <col min="3" max="5" width="11.42578125" style="105" customWidth="1"/>
    <col min="6" max="8" width="19.42578125" style="105" customWidth="1"/>
    <col min="9" max="9" width="15.140625" style="105" customWidth="1"/>
    <col min="10" max="10" width="9.140625" style="105" customWidth="1"/>
    <col min="11" max="16384" width="9.140625" style="105"/>
  </cols>
  <sheetData>
    <row r="1" spans="1:9" s="106" customFormat="1" ht="18.75" customHeight="1" x14ac:dyDescent="0.3">
      <c r="A1" s="287" t="s">
        <v>93</v>
      </c>
      <c r="B1" s="221"/>
      <c r="C1" s="221"/>
      <c r="D1" s="221"/>
      <c r="E1" s="221"/>
      <c r="F1" s="250"/>
      <c r="G1" s="288" t="s">
        <v>94</v>
      </c>
      <c r="H1" s="190"/>
      <c r="I1" s="289"/>
    </row>
    <row r="2" spans="1:9" s="106" customFormat="1" ht="18.75" customHeight="1" x14ac:dyDescent="0.3">
      <c r="A2" s="201"/>
      <c r="B2" s="232"/>
      <c r="C2" s="232"/>
      <c r="D2" s="232"/>
      <c r="E2" s="232"/>
      <c r="F2" s="202"/>
      <c r="G2" s="288" t="s">
        <v>38</v>
      </c>
      <c r="H2" s="190"/>
      <c r="I2" s="289"/>
    </row>
    <row r="3" spans="1:9" ht="13.5" customHeight="1" x14ac:dyDescent="0.3">
      <c r="A3" s="290" t="s">
        <v>95</v>
      </c>
      <c r="B3" s="289"/>
      <c r="C3" s="107"/>
      <c r="D3" s="108"/>
      <c r="E3" s="109"/>
      <c r="F3" s="107"/>
      <c r="G3" s="110" t="s">
        <v>96</v>
      </c>
      <c r="H3" s="110"/>
      <c r="I3" s="111"/>
    </row>
    <row r="4" spans="1:9" ht="15" x14ac:dyDescent="0.25">
      <c r="A4" s="112" t="s">
        <v>97</v>
      </c>
      <c r="B4" s="112" t="s">
        <v>98</v>
      </c>
      <c r="C4" s="112" t="s">
        <v>99</v>
      </c>
      <c r="D4" s="112" t="s">
        <v>100</v>
      </c>
      <c r="E4" s="112" t="s">
        <v>101</v>
      </c>
      <c r="F4" s="291" t="s">
        <v>102</v>
      </c>
      <c r="G4" s="190"/>
      <c r="H4" s="289"/>
      <c r="I4" s="113" t="s">
        <v>103</v>
      </c>
    </row>
    <row r="5" spans="1:9" ht="15" x14ac:dyDescent="0.25">
      <c r="A5" s="114">
        <v>290033</v>
      </c>
      <c r="B5" s="115" t="e">
        <f>IF(A5=0,"",VLOOKUP(A5,'[1]CÓDIGO DE PONTOS'!$A$5:$D$998,4,0))</f>
        <v>#N/A</v>
      </c>
      <c r="C5" s="116" t="e">
        <f t="shared" ref="C5:C24" si="0">E5*B5</f>
        <v>#N/A</v>
      </c>
      <c r="D5" s="117" t="e">
        <f>IF(A5=0,"",VLOOKUP(A5,'[1]CÓDIGO DE PONTOS'!$A$5:$C$998,3,0))</f>
        <v>#N/A</v>
      </c>
      <c r="E5" s="115">
        <f t="shared" ref="E5:E36" si="1">I5</f>
        <v>0</v>
      </c>
      <c r="F5" s="284" t="e">
        <f>IF(A5=0,"",VLOOKUP(A5,'[1]CÓDIGO DE PONTOS'!$A$5:$B$998,2,0))</f>
        <v>#N/A</v>
      </c>
      <c r="G5" s="285"/>
      <c r="H5" s="286"/>
      <c r="I5" s="118"/>
    </row>
    <row r="6" spans="1:9" ht="15" x14ac:dyDescent="0.25">
      <c r="A6" s="114">
        <v>290068</v>
      </c>
      <c r="B6" s="115" t="e">
        <f>IF(A6=0,"",VLOOKUP(A6,'[1]CÓDIGO DE PONTOS'!$A$5:$D$998,4,0))</f>
        <v>#N/A</v>
      </c>
      <c r="C6" s="116" t="e">
        <f t="shared" si="0"/>
        <v>#N/A</v>
      </c>
      <c r="D6" s="117" t="e">
        <f>IF(A6=0,"",VLOOKUP(A6,'[1]CÓDIGO DE PONTOS'!$A$5:$C$998,3,0))</f>
        <v>#N/A</v>
      </c>
      <c r="E6" s="115">
        <f t="shared" si="1"/>
        <v>0</v>
      </c>
      <c r="F6" s="284" t="e">
        <f>IF(A6=0,"",VLOOKUP(A6,'[1]CÓDIGO DE PONTOS'!$A$5:$B$998,2,0))</f>
        <v>#N/A</v>
      </c>
      <c r="G6" s="285"/>
      <c r="H6" s="286"/>
      <c r="I6" s="118"/>
    </row>
    <row r="7" spans="1:9" ht="15" x14ac:dyDescent="0.25">
      <c r="A7" s="114">
        <v>290106</v>
      </c>
      <c r="B7" s="115" t="e">
        <f>IF(A7=0,"",VLOOKUP(A7,'[1]CÓDIGO DE PONTOS'!$A$5:$D$998,4,0))</f>
        <v>#N/A</v>
      </c>
      <c r="C7" s="116" t="e">
        <f t="shared" si="0"/>
        <v>#N/A</v>
      </c>
      <c r="D7" s="117" t="e">
        <f>IF(A7=0,"",VLOOKUP(A7,'[1]CÓDIGO DE PONTOS'!$A$5:$C$998,3,0))</f>
        <v>#N/A</v>
      </c>
      <c r="E7" s="115">
        <f t="shared" si="1"/>
        <v>0</v>
      </c>
      <c r="F7" s="284" t="e">
        <f>IF(A7=0,"",VLOOKUP(A7,'[1]CÓDIGO DE PONTOS'!$A$5:$B$998,2,0))</f>
        <v>#N/A</v>
      </c>
      <c r="G7" s="285"/>
      <c r="H7" s="286"/>
      <c r="I7" s="118"/>
    </row>
    <row r="8" spans="1:9" ht="15" x14ac:dyDescent="0.25">
      <c r="A8" s="114">
        <v>290114</v>
      </c>
      <c r="B8" s="115" t="e">
        <f>IF(A8=0,"",VLOOKUP(A8,'[1]CÓDIGO DE PONTOS'!$A$5:$D$998,4,0))</f>
        <v>#N/A</v>
      </c>
      <c r="C8" s="116" t="e">
        <f t="shared" si="0"/>
        <v>#N/A</v>
      </c>
      <c r="D8" s="117" t="e">
        <f>IF(A8=0,"",VLOOKUP(A8,'[1]CÓDIGO DE PONTOS'!$A$5:$C$998,3,0))</f>
        <v>#N/A</v>
      </c>
      <c r="E8" s="115">
        <f t="shared" si="1"/>
        <v>0</v>
      </c>
      <c r="F8" s="284" t="e">
        <f>IF(A8=0,"",VLOOKUP(A8,'[1]CÓDIGO DE PONTOS'!$A$5:$B$998,2,0))</f>
        <v>#N/A</v>
      </c>
      <c r="G8" s="285"/>
      <c r="H8" s="286"/>
      <c r="I8" s="118"/>
    </row>
    <row r="9" spans="1:9" ht="15" x14ac:dyDescent="0.25">
      <c r="A9" s="114">
        <v>290149</v>
      </c>
      <c r="B9" s="115" t="e">
        <f>IF(A9=0,"",VLOOKUP(A9,'[1]CÓDIGO DE PONTOS'!$A$5:$D$998,4,0))</f>
        <v>#N/A</v>
      </c>
      <c r="C9" s="116" t="e">
        <f t="shared" si="0"/>
        <v>#N/A</v>
      </c>
      <c r="D9" s="117" t="e">
        <f>IF(A9=0,"",VLOOKUP(A9,'[1]CÓDIGO DE PONTOS'!$A$5:$C$998,3,0))</f>
        <v>#N/A</v>
      </c>
      <c r="E9" s="115">
        <f t="shared" si="1"/>
        <v>0</v>
      </c>
      <c r="F9" s="284" t="e">
        <f>IF(A9=0,"",VLOOKUP(A9,'[1]CÓDIGO DE PONTOS'!$A$5:$B$998,2,0))</f>
        <v>#N/A</v>
      </c>
      <c r="G9" s="285"/>
      <c r="H9" s="286"/>
      <c r="I9" s="118"/>
    </row>
    <row r="10" spans="1:9" ht="15" x14ac:dyDescent="0.25">
      <c r="A10" s="114">
        <v>290190</v>
      </c>
      <c r="B10" s="115" t="e">
        <f>IF(A10=0,"",VLOOKUP(A10,'[1]CÓDIGO DE PONTOS'!$A$5:$D$998,4,0))</f>
        <v>#N/A</v>
      </c>
      <c r="C10" s="116" t="e">
        <f t="shared" si="0"/>
        <v>#N/A</v>
      </c>
      <c r="D10" s="117" t="e">
        <f>IF(A10=0,"",VLOOKUP(A10,'[1]CÓDIGO DE PONTOS'!$A$5:$C$998,3,0))</f>
        <v>#N/A</v>
      </c>
      <c r="E10" s="115">
        <f t="shared" si="1"/>
        <v>0</v>
      </c>
      <c r="F10" s="284" t="e">
        <f>IF(A10=0,"",VLOOKUP(A10,'[1]CÓDIGO DE PONTOS'!$A$5:$B$998,2,0))</f>
        <v>#N/A</v>
      </c>
      <c r="G10" s="285"/>
      <c r="H10" s="286"/>
      <c r="I10" s="118"/>
    </row>
    <row r="11" spans="1:9" ht="15" x14ac:dyDescent="0.25">
      <c r="A11" s="114">
        <v>290211</v>
      </c>
      <c r="B11" s="115" t="e">
        <f>IF(A11=0,"",VLOOKUP(A11,'[1]CÓDIGO DE PONTOS'!$A$5:$D$998,4,0))</f>
        <v>#N/A</v>
      </c>
      <c r="C11" s="116" t="e">
        <f t="shared" si="0"/>
        <v>#N/A</v>
      </c>
      <c r="D11" s="117" t="e">
        <f>IF(A11=0,"",VLOOKUP(A11,'[1]CÓDIGO DE PONTOS'!$A$5:$C$998,3,0))</f>
        <v>#N/A</v>
      </c>
      <c r="E11" s="115">
        <f t="shared" si="1"/>
        <v>0</v>
      </c>
      <c r="F11" s="284" t="e">
        <f>IF(A11=0,"",VLOOKUP(A11,'[1]CÓDIGO DE PONTOS'!$A$5:$B$998,2,0))</f>
        <v>#N/A</v>
      </c>
      <c r="G11" s="285"/>
      <c r="H11" s="286"/>
      <c r="I11" s="118"/>
    </row>
    <row r="12" spans="1:9" ht="15" x14ac:dyDescent="0.25">
      <c r="A12" s="114">
        <v>290769</v>
      </c>
      <c r="B12" s="115" t="e">
        <f>IF(A12=0,"",VLOOKUP(A12,'[1]CÓDIGO DE PONTOS'!$A$5:$D$998,4,0))</f>
        <v>#N/A</v>
      </c>
      <c r="C12" s="116" t="e">
        <f t="shared" si="0"/>
        <v>#N/A</v>
      </c>
      <c r="D12" s="117" t="e">
        <f>IF(A12=0,"",VLOOKUP(A12,'[1]CÓDIGO DE PONTOS'!$A$5:$C$998,3,0))</f>
        <v>#N/A</v>
      </c>
      <c r="E12" s="115">
        <f t="shared" si="1"/>
        <v>0</v>
      </c>
      <c r="F12" s="284" t="e">
        <f>IF(A12=0,"",VLOOKUP(A12,'[1]CÓDIGO DE PONTOS'!$A$5:$B$998,2,0))</f>
        <v>#N/A</v>
      </c>
      <c r="G12" s="285"/>
      <c r="H12" s="286"/>
      <c r="I12" s="118"/>
    </row>
    <row r="13" spans="1:9" ht="15" x14ac:dyDescent="0.25">
      <c r="A13" s="114">
        <v>291579</v>
      </c>
      <c r="B13" s="115" t="e">
        <f>IF(A13=0,"",VLOOKUP(A13,'[1]CÓDIGO DE PONTOS'!$A$5:$D$998,4,0))</f>
        <v>#N/A</v>
      </c>
      <c r="C13" s="116" t="e">
        <f t="shared" si="0"/>
        <v>#N/A</v>
      </c>
      <c r="D13" s="117" t="e">
        <f>IF(A13=0,"",VLOOKUP(A13,'[1]CÓDIGO DE PONTOS'!$A$5:$C$998,3,0))</f>
        <v>#N/A</v>
      </c>
      <c r="E13" s="115">
        <f t="shared" si="1"/>
        <v>0</v>
      </c>
      <c r="F13" s="284" t="e">
        <f>IF(A13=0,"",VLOOKUP(A13,'[1]CÓDIGO DE PONTOS'!$A$5:$B$998,2,0))</f>
        <v>#N/A</v>
      </c>
      <c r="G13" s="285"/>
      <c r="H13" s="286"/>
      <c r="I13" s="118"/>
    </row>
    <row r="14" spans="1:9" ht="15" x14ac:dyDescent="0.25">
      <c r="A14" s="114">
        <v>291587</v>
      </c>
      <c r="B14" s="115" t="e">
        <f>IF(A14=0,"",VLOOKUP(A14,'[1]CÓDIGO DE PONTOS'!$A$5:$D$998,4,0))</f>
        <v>#N/A</v>
      </c>
      <c r="C14" s="116" t="e">
        <f t="shared" si="0"/>
        <v>#N/A</v>
      </c>
      <c r="D14" s="117" t="e">
        <f>IF(A14=0,"",VLOOKUP(A14,'[1]CÓDIGO DE PONTOS'!$A$5:$C$998,3,0))</f>
        <v>#N/A</v>
      </c>
      <c r="E14" s="115">
        <f t="shared" si="1"/>
        <v>12</v>
      </c>
      <c r="F14" s="284" t="e">
        <f>IF(A14=0,"",VLOOKUP(A14,'[1]CÓDIGO DE PONTOS'!$A$5:$B$998,2,0))</f>
        <v>#N/A</v>
      </c>
      <c r="G14" s="285"/>
      <c r="H14" s="286"/>
      <c r="I14" s="118">
        <v>12</v>
      </c>
    </row>
    <row r="15" spans="1:9" ht="15" x14ac:dyDescent="0.25">
      <c r="A15" s="114">
        <v>290262</v>
      </c>
      <c r="B15" s="115" t="e">
        <f>IF(A15=0,"",VLOOKUP(A15,'[1]CÓDIGO DE PONTOS'!$A$5:$D$998,4,0))</f>
        <v>#N/A</v>
      </c>
      <c r="C15" s="116" t="e">
        <f t="shared" si="0"/>
        <v>#N/A</v>
      </c>
      <c r="D15" s="117" t="e">
        <f>IF(A15=0,"",VLOOKUP(A15,'[1]CÓDIGO DE PONTOS'!$A$5:$C$998,3,0))</f>
        <v>#N/A</v>
      </c>
      <c r="E15" s="115">
        <f t="shared" si="1"/>
        <v>0</v>
      </c>
      <c r="F15" s="284" t="e">
        <f>IF(A15=0,"",VLOOKUP(A15,'[1]CÓDIGO DE PONTOS'!$A$5:$B$998,2,0))</f>
        <v>#N/A</v>
      </c>
      <c r="G15" s="285"/>
      <c r="H15" s="286"/>
      <c r="I15" s="118"/>
    </row>
    <row r="16" spans="1:9" ht="15" x14ac:dyDescent="0.25">
      <c r="A16" s="114">
        <v>290351</v>
      </c>
      <c r="B16" s="115" t="e">
        <f>IF(A16=0,"",VLOOKUP(A16,'[1]CÓDIGO DE PONTOS'!$A$5:$D$998,4,0))</f>
        <v>#N/A</v>
      </c>
      <c r="C16" s="116" t="e">
        <f t="shared" si="0"/>
        <v>#N/A</v>
      </c>
      <c r="D16" s="117" t="e">
        <f>IF(A16=0,"",VLOOKUP(A16,'[1]CÓDIGO DE PONTOS'!$A$5:$C$998,3,0))</f>
        <v>#N/A</v>
      </c>
      <c r="E16" s="115">
        <f t="shared" si="1"/>
        <v>0</v>
      </c>
      <c r="F16" s="284" t="e">
        <f>IF(A16=0,"",VLOOKUP(A16,'[1]CÓDIGO DE PONTOS'!$A$5:$B$998,2,0))</f>
        <v>#N/A</v>
      </c>
      <c r="G16" s="285"/>
      <c r="H16" s="286"/>
      <c r="I16" s="118"/>
    </row>
    <row r="17" spans="1:9" ht="15" x14ac:dyDescent="0.25">
      <c r="A17" s="114">
        <v>290050</v>
      </c>
      <c r="B17" s="115" t="e">
        <f>IF(A17=0,"",VLOOKUP(A17,'[1]CÓDIGO DE PONTOS'!$A$5:$D$998,4,0))</f>
        <v>#N/A</v>
      </c>
      <c r="C17" s="116" t="e">
        <f t="shared" si="0"/>
        <v>#N/A</v>
      </c>
      <c r="D17" s="117" t="e">
        <f>IF(A17=0,"",VLOOKUP(A17,'[1]CÓDIGO DE PONTOS'!$A$5:$C$998,3,0))</f>
        <v>#N/A</v>
      </c>
      <c r="E17" s="115">
        <f t="shared" si="1"/>
        <v>0</v>
      </c>
      <c r="F17" s="284" t="e">
        <f>IF(A17=0,"",VLOOKUP(A17,'[1]CÓDIGO DE PONTOS'!$A$5:$B$998,2,0))</f>
        <v>#N/A</v>
      </c>
      <c r="G17" s="285"/>
      <c r="H17" s="286"/>
      <c r="I17" s="118"/>
    </row>
    <row r="18" spans="1:9" ht="15" x14ac:dyDescent="0.25">
      <c r="A18" s="114">
        <v>290076</v>
      </c>
      <c r="B18" s="115" t="e">
        <f>IF(A18=0,"",VLOOKUP(A18,'[1]CÓDIGO DE PONTOS'!$A$5:$D$998,4,0))</f>
        <v>#N/A</v>
      </c>
      <c r="C18" s="116" t="e">
        <f t="shared" si="0"/>
        <v>#N/A</v>
      </c>
      <c r="D18" s="117" t="e">
        <f>IF(A18=0,"",VLOOKUP(A18,'[1]CÓDIGO DE PONTOS'!$A$5:$C$998,3,0))</f>
        <v>#N/A</v>
      </c>
      <c r="E18" s="115">
        <f t="shared" si="1"/>
        <v>0</v>
      </c>
      <c r="F18" s="284" t="e">
        <f>IF(A18=0,"",VLOOKUP(A18,'[1]CÓDIGO DE PONTOS'!$A$5:$B$998,2,0))</f>
        <v>#N/A</v>
      </c>
      <c r="G18" s="285"/>
      <c r="H18" s="286"/>
      <c r="I18" s="118"/>
    </row>
    <row r="19" spans="1:9" ht="15" x14ac:dyDescent="0.25">
      <c r="A19" s="114">
        <v>290131</v>
      </c>
      <c r="B19" s="115" t="e">
        <f>IF(A19=0,"",VLOOKUP(A19,'[1]CÓDIGO DE PONTOS'!$A$5:$D$998,4,0))</f>
        <v>#N/A</v>
      </c>
      <c r="C19" s="116" t="e">
        <f t="shared" si="0"/>
        <v>#N/A</v>
      </c>
      <c r="D19" s="117" t="e">
        <f>IF(A19=0,"",VLOOKUP(A19,'[1]CÓDIGO DE PONTOS'!$A$5:$C$998,3,0))</f>
        <v>#N/A</v>
      </c>
      <c r="E19" s="115">
        <f t="shared" si="1"/>
        <v>0</v>
      </c>
      <c r="F19" s="284" t="e">
        <f>IF(A19=0,"",VLOOKUP(A19,'[1]CÓDIGO DE PONTOS'!$A$5:$B$998,2,0))</f>
        <v>#N/A</v>
      </c>
      <c r="G19" s="285"/>
      <c r="H19" s="286"/>
      <c r="I19" s="118"/>
    </row>
    <row r="20" spans="1:9" ht="15" x14ac:dyDescent="0.25">
      <c r="A20" s="114">
        <v>290157</v>
      </c>
      <c r="B20" s="115" t="e">
        <f>IF(A20=0,"",VLOOKUP(A20,'[1]CÓDIGO DE PONTOS'!$A$5:$D$998,4,0))</f>
        <v>#N/A</v>
      </c>
      <c r="C20" s="116" t="e">
        <f t="shared" si="0"/>
        <v>#N/A</v>
      </c>
      <c r="D20" s="117" t="e">
        <f>IF(A20=0,"",VLOOKUP(A20,'[1]CÓDIGO DE PONTOS'!$A$5:$C$998,3,0))</f>
        <v>#N/A</v>
      </c>
      <c r="E20" s="115">
        <f t="shared" si="1"/>
        <v>0</v>
      </c>
      <c r="F20" s="284" t="e">
        <f>IF(A20=0,"",VLOOKUP(A20,'[1]CÓDIGO DE PONTOS'!$A$5:$B$998,2,0))</f>
        <v>#N/A</v>
      </c>
      <c r="G20" s="285"/>
      <c r="H20" s="286"/>
      <c r="I20" s="118"/>
    </row>
    <row r="21" spans="1:9" ht="15" x14ac:dyDescent="0.25">
      <c r="A21" s="114">
        <v>290203</v>
      </c>
      <c r="B21" s="115" t="e">
        <f>IF(A21=0,"",VLOOKUP(A21,'[1]CÓDIGO DE PONTOS'!$A$5:$D$998,4,0))</f>
        <v>#N/A</v>
      </c>
      <c r="C21" s="116" t="e">
        <f t="shared" si="0"/>
        <v>#N/A</v>
      </c>
      <c r="D21" s="117" t="e">
        <f>IF(A21=0,"",VLOOKUP(A21,'[1]CÓDIGO DE PONTOS'!$A$5:$C$998,3,0))</f>
        <v>#N/A</v>
      </c>
      <c r="E21" s="115">
        <f t="shared" si="1"/>
        <v>0</v>
      </c>
      <c r="F21" s="284" t="e">
        <f>IF(A21=0,"",VLOOKUP(A21,'[1]CÓDIGO DE PONTOS'!$A$5:$B$998,2,0))</f>
        <v>#N/A</v>
      </c>
      <c r="G21" s="285"/>
      <c r="H21" s="286"/>
      <c r="I21" s="118"/>
    </row>
    <row r="22" spans="1:9" ht="15" x14ac:dyDescent="0.25">
      <c r="A22" s="114">
        <v>290777</v>
      </c>
      <c r="B22" s="115" t="e">
        <f>IF(A22=0,"",VLOOKUP(A22,'[1]CÓDIGO DE PONTOS'!$A$5:$D$998,4,0))</f>
        <v>#N/A</v>
      </c>
      <c r="C22" s="116" t="e">
        <f t="shared" si="0"/>
        <v>#N/A</v>
      </c>
      <c r="D22" s="117" t="e">
        <f>IF(A22=0,"",VLOOKUP(A22,'[1]CÓDIGO DE PONTOS'!$A$5:$C$998,3,0))</f>
        <v>#N/A</v>
      </c>
      <c r="E22" s="115">
        <f t="shared" si="1"/>
        <v>0</v>
      </c>
      <c r="F22" s="284" t="e">
        <f>IF(A22=0,"",VLOOKUP(A22,'[1]CÓDIGO DE PONTOS'!$A$5:$B$998,2,0))</f>
        <v>#N/A</v>
      </c>
      <c r="G22" s="285"/>
      <c r="H22" s="286"/>
      <c r="I22" s="119"/>
    </row>
    <row r="23" spans="1:9" ht="15" x14ac:dyDescent="0.25">
      <c r="A23" s="114">
        <v>220558</v>
      </c>
      <c r="B23" s="115" t="e">
        <f>IF(A23=0,"",VLOOKUP(A23,'[1]CÓDIGO DE PONTOS'!$A$5:$D$998,4,0))</f>
        <v>#N/A</v>
      </c>
      <c r="C23" s="116" t="e">
        <f t="shared" si="0"/>
        <v>#N/A</v>
      </c>
      <c r="D23" s="117" t="e">
        <f>IF(A23=0,"",VLOOKUP(A23,'[1]CÓDIGO DE PONTOS'!$A$5:$C$998,3,0))</f>
        <v>#N/A</v>
      </c>
      <c r="E23" s="115">
        <f t="shared" si="1"/>
        <v>0</v>
      </c>
      <c r="F23" s="284" t="e">
        <f>IF(A23=0,"",VLOOKUP(A23,'[1]CÓDIGO DE PONTOS'!$A$5:$B$998,2,0))</f>
        <v>#N/A</v>
      </c>
      <c r="G23" s="285"/>
      <c r="H23" s="286"/>
      <c r="I23" s="119"/>
    </row>
    <row r="24" spans="1:9" ht="15" x14ac:dyDescent="0.25">
      <c r="A24" s="114">
        <v>221694</v>
      </c>
      <c r="B24" s="115" t="e">
        <f>IF(A24=0,"",VLOOKUP(A24,'[1]CÓDIGO DE PONTOS'!$A$5:$D$998,4,0))</f>
        <v>#N/A</v>
      </c>
      <c r="C24" s="116" t="e">
        <f t="shared" si="0"/>
        <v>#N/A</v>
      </c>
      <c r="D24" s="117" t="e">
        <f>IF(A24=0,"",VLOOKUP(A24,'[1]CÓDIGO DE PONTOS'!$A$5:$C$998,3,0))</f>
        <v>#N/A</v>
      </c>
      <c r="E24" s="115">
        <f t="shared" si="1"/>
        <v>0</v>
      </c>
      <c r="F24" s="284" t="e">
        <f>IF(A24=0,"",VLOOKUP(A24,'[1]CÓDIGO DE PONTOS'!$A$5:$B$998,2,0))</f>
        <v>#N/A</v>
      </c>
      <c r="G24" s="285"/>
      <c r="H24" s="286"/>
      <c r="I24" s="120"/>
    </row>
    <row r="25" spans="1:9" ht="15" x14ac:dyDescent="0.25">
      <c r="A25" s="114">
        <v>221864</v>
      </c>
      <c r="B25" s="121" t="e">
        <f>IF(A25=0,"",VLOOKUP(A25,'[1]CÓDIGO DE PONTOS'!$A$5:$D$998,4,0))</f>
        <v>#N/A</v>
      </c>
      <c r="C25" s="116"/>
      <c r="D25" s="117" t="e">
        <f>IF(A25=0,"",VLOOKUP(A25,'[1]CÓDIGO DE PONTOS'!$A$5:$C$998,3,0))</f>
        <v>#N/A</v>
      </c>
      <c r="E25" s="115">
        <f t="shared" si="1"/>
        <v>0</v>
      </c>
      <c r="F25" s="284" t="e">
        <f>IF(A25=0,"",VLOOKUP(A25,'[1]CÓDIGO DE PONTOS'!$A$5:$B$998,2,0))</f>
        <v>#N/A</v>
      </c>
      <c r="G25" s="285"/>
      <c r="H25" s="286"/>
      <c r="I25" s="119"/>
    </row>
    <row r="26" spans="1:9" ht="15" x14ac:dyDescent="0.25">
      <c r="A26" s="114">
        <v>222569</v>
      </c>
      <c r="B26" s="115" t="e">
        <f>IF(A26=0,"",VLOOKUP(A26,'[1]CÓDIGO DE PONTOS'!$A$5:$D$998,4,0))</f>
        <v>#N/A</v>
      </c>
      <c r="C26" s="116" t="e">
        <f t="shared" ref="C26:C54" si="2">E26*B26</f>
        <v>#N/A</v>
      </c>
      <c r="D26" s="117" t="e">
        <f>IF(A26=0,"",VLOOKUP(A26,'[1]CÓDIGO DE PONTOS'!$A$5:$C$998,3,0))</f>
        <v>#N/A</v>
      </c>
      <c r="E26" s="115">
        <f t="shared" si="1"/>
        <v>0</v>
      </c>
      <c r="F26" s="284" t="e">
        <f>IF(A26=0,"",VLOOKUP(A26,'[1]CÓDIGO DE PONTOS'!$A$5:$B$998,2,0))</f>
        <v>#N/A</v>
      </c>
      <c r="G26" s="285"/>
      <c r="H26" s="286"/>
      <c r="I26" s="119"/>
    </row>
    <row r="27" spans="1:9" ht="15" x14ac:dyDescent="0.25">
      <c r="A27" s="114">
        <v>221767</v>
      </c>
      <c r="B27" s="115" t="e">
        <f>IF(A27=0,"",VLOOKUP(A27,'[1]CÓDIGO DE PONTOS'!$A$5:$D$998,4,0))</f>
        <v>#N/A</v>
      </c>
      <c r="C27" s="116" t="e">
        <f t="shared" si="2"/>
        <v>#N/A</v>
      </c>
      <c r="D27" s="117" t="e">
        <f>IF(A27=0,"",VLOOKUP(A27,'[1]CÓDIGO DE PONTOS'!$A$5:$C$998,3,0))</f>
        <v>#N/A</v>
      </c>
      <c r="E27" s="115">
        <f t="shared" si="1"/>
        <v>0</v>
      </c>
      <c r="F27" s="284" t="e">
        <f>IF(A27=0,"",VLOOKUP(A27,'[1]CÓDIGO DE PONTOS'!$A$5:$B$998,2,0))</f>
        <v>#N/A</v>
      </c>
      <c r="G27" s="285"/>
      <c r="H27" s="286"/>
      <c r="I27" s="119"/>
    </row>
    <row r="28" spans="1:9" ht="15" x14ac:dyDescent="0.25">
      <c r="A28" s="114">
        <v>200018</v>
      </c>
      <c r="B28" s="115" t="e">
        <f>IF(A28=0,"",VLOOKUP(A28,'[1]CÓDIGO DE PONTOS'!$A$5:$D$998,4,0))</f>
        <v>#N/A</v>
      </c>
      <c r="C28" s="116" t="e">
        <f t="shared" si="2"/>
        <v>#N/A</v>
      </c>
      <c r="D28" s="117" t="e">
        <f>IF(A28=0,"",VLOOKUP(A28,'[1]CÓDIGO DE PONTOS'!$A$5:$C$998,3,0))</f>
        <v>#N/A</v>
      </c>
      <c r="E28" s="115">
        <f t="shared" si="1"/>
        <v>0</v>
      </c>
      <c r="F28" s="284" t="e">
        <f>IF(A28=0,"",VLOOKUP(A28,'[1]CÓDIGO DE PONTOS'!$A$5:$B$998,2,0))</f>
        <v>#N/A</v>
      </c>
      <c r="G28" s="285"/>
      <c r="H28" s="286"/>
      <c r="I28" s="119"/>
    </row>
    <row r="29" spans="1:9" ht="15" x14ac:dyDescent="0.25">
      <c r="A29" s="114">
        <v>260282</v>
      </c>
      <c r="B29" s="115" t="e">
        <f>IF(A29=0,"",VLOOKUP(A29,'[1]CÓDIGO DE PONTOS'!$A$5:$D$998,4,0))</f>
        <v>#N/A</v>
      </c>
      <c r="C29" s="116" t="e">
        <f t="shared" si="2"/>
        <v>#N/A</v>
      </c>
      <c r="D29" s="117" t="e">
        <f>IF(A29=0,"",VLOOKUP(A29,'[1]CÓDIGO DE PONTOS'!$A$5:$C$998,3,0))</f>
        <v>#N/A</v>
      </c>
      <c r="E29" s="115">
        <f t="shared" si="1"/>
        <v>0</v>
      </c>
      <c r="F29" s="284" t="e">
        <f>IF(A29=0,"",VLOOKUP(A29,'[1]CÓDIGO DE PONTOS'!$A$5:$B$998,2,0))</f>
        <v>#N/A</v>
      </c>
      <c r="G29" s="285"/>
      <c r="H29" s="286"/>
      <c r="I29" s="119"/>
    </row>
    <row r="30" spans="1:9" ht="15" x14ac:dyDescent="0.25">
      <c r="A30" s="114">
        <v>291204</v>
      </c>
      <c r="B30" s="115" t="e">
        <f>IF(A30=0,"",VLOOKUP(A30,'[1]CÓDIGO DE PONTOS'!$A$5:$D$998,4,0))</f>
        <v>#N/A</v>
      </c>
      <c r="C30" s="116" t="e">
        <f t="shared" si="2"/>
        <v>#N/A</v>
      </c>
      <c r="D30" s="117" t="e">
        <f>IF(A30=0,"",VLOOKUP(A30,'[1]CÓDIGO DE PONTOS'!$A$5:$C$998,3,0))</f>
        <v>#N/A</v>
      </c>
      <c r="E30" s="115">
        <f t="shared" si="1"/>
        <v>3</v>
      </c>
      <c r="F30" s="284" t="e">
        <f>IF(A30=0,"",VLOOKUP(A30,'[1]CÓDIGO DE PONTOS'!$A$5:$B$998,2,0))</f>
        <v>#N/A</v>
      </c>
      <c r="G30" s="285"/>
      <c r="H30" s="286"/>
      <c r="I30" s="119">
        <v>3</v>
      </c>
    </row>
    <row r="31" spans="1:9" ht="15" x14ac:dyDescent="0.25">
      <c r="A31" s="114">
        <v>291212</v>
      </c>
      <c r="B31" s="115" t="e">
        <f>IF(A31=0,"",VLOOKUP(A31,'[1]CÓDIGO DE PONTOS'!$A$5:$D$998,4,0))</f>
        <v>#N/A</v>
      </c>
      <c r="C31" s="116" t="e">
        <f t="shared" si="2"/>
        <v>#N/A</v>
      </c>
      <c r="D31" s="117" t="e">
        <f>IF(A31=0,"",VLOOKUP(A31,'[1]CÓDIGO DE PONTOS'!$A$5:$C$998,3,0))</f>
        <v>#N/A</v>
      </c>
      <c r="E31" s="115">
        <f t="shared" si="1"/>
        <v>0</v>
      </c>
      <c r="F31" s="284" t="e">
        <f>IF(A31=0,"",VLOOKUP(A31,'[1]CÓDIGO DE PONTOS'!$A$5:$B$998,2,0))</f>
        <v>#N/A</v>
      </c>
      <c r="G31" s="285"/>
      <c r="H31" s="286"/>
      <c r="I31" s="119"/>
    </row>
    <row r="32" spans="1:9" ht="15" x14ac:dyDescent="0.25">
      <c r="A32" s="114">
        <v>290963</v>
      </c>
      <c r="B32" s="115" t="e">
        <f>IF(A32=0,"",VLOOKUP(A32,'[1]CÓDIGO DE PONTOS'!$A$5:$D$998,4,0))</f>
        <v>#N/A</v>
      </c>
      <c r="C32" s="116" t="e">
        <f t="shared" si="2"/>
        <v>#N/A</v>
      </c>
      <c r="D32" s="117" t="e">
        <f>IF(A32=0,"",VLOOKUP(A32,'[1]CÓDIGO DE PONTOS'!$A$5:$C$998,3,0))</f>
        <v>#N/A</v>
      </c>
      <c r="E32" s="115">
        <f t="shared" si="1"/>
        <v>0</v>
      </c>
      <c r="F32" s="284" t="e">
        <f>IF(A32=0,"",VLOOKUP(A32,'[1]CÓDIGO DE PONTOS'!$A$5:$B$998,2,0))</f>
        <v>#N/A</v>
      </c>
      <c r="G32" s="285"/>
      <c r="H32" s="286"/>
      <c r="I32" s="122"/>
    </row>
    <row r="33" spans="1:9" ht="15" x14ac:dyDescent="0.25">
      <c r="A33" s="114">
        <v>290017</v>
      </c>
      <c r="B33" s="115" t="e">
        <f>IF(A33=0,"",VLOOKUP(A33,'[1]CÓDIGO DE PONTOS'!$A$5:$D$998,4,0))</f>
        <v>#N/A</v>
      </c>
      <c r="C33" s="116" t="e">
        <f t="shared" si="2"/>
        <v>#N/A</v>
      </c>
      <c r="D33" s="117" t="e">
        <f>IF(A33=0,"",VLOOKUP(A33,'[1]CÓDIGO DE PONTOS'!$A$5:$C$998,3,0))</f>
        <v>#N/A</v>
      </c>
      <c r="E33" s="115">
        <f t="shared" si="1"/>
        <v>0</v>
      </c>
      <c r="F33" s="284" t="e">
        <f>IF(A33=0,"",VLOOKUP(A33,'[1]CÓDIGO DE PONTOS'!$A$5:$B$998,2,0))</f>
        <v>#N/A</v>
      </c>
      <c r="G33" s="285"/>
      <c r="H33" s="286"/>
      <c r="I33" s="122"/>
    </row>
    <row r="34" spans="1:9" ht="15" x14ac:dyDescent="0.25">
      <c r="A34" s="114">
        <v>450014</v>
      </c>
      <c r="B34" s="115" t="e">
        <f>IF(A34=0,"",VLOOKUP(A34,'[1]CÓDIGO DE PONTOS'!$A$5:$D$998,4,0))</f>
        <v>#N/A</v>
      </c>
      <c r="C34" s="116" t="e">
        <f t="shared" si="2"/>
        <v>#N/A</v>
      </c>
      <c r="D34" s="117" t="e">
        <f>IF(A34=0,"",VLOOKUP(A34,'[1]CÓDIGO DE PONTOS'!$A$5:$C$998,3,0))</f>
        <v>#N/A</v>
      </c>
      <c r="E34" s="115">
        <f t="shared" si="1"/>
        <v>0</v>
      </c>
      <c r="F34" s="284" t="e">
        <f>IF(A34=0,"",VLOOKUP(A34,'[1]CÓDIGO DE PONTOS'!$A$5:$B$998,2,0))</f>
        <v>#N/A</v>
      </c>
      <c r="G34" s="285"/>
      <c r="H34" s="286"/>
      <c r="I34" s="122"/>
    </row>
    <row r="35" spans="1:9" ht="15" x14ac:dyDescent="0.25">
      <c r="A35" s="114">
        <v>291229</v>
      </c>
      <c r="B35" s="115" t="e">
        <f>IF(A35=0,"",VLOOKUP(A35,'[1]CÓDIGO DE PONTOS'!$A$5:$D$998,4,0))</f>
        <v>#N/A</v>
      </c>
      <c r="C35" s="116" t="e">
        <f t="shared" si="2"/>
        <v>#N/A</v>
      </c>
      <c r="D35" s="117" t="e">
        <f>IF(A35=0,"",VLOOKUP(A35,'[1]CÓDIGO DE PONTOS'!$A$5:$C$998,3,0))</f>
        <v>#N/A</v>
      </c>
      <c r="E35" s="115">
        <f t="shared" si="1"/>
        <v>6</v>
      </c>
      <c r="F35" s="284" t="e">
        <f>IF(A35=0,"",VLOOKUP(A35,'[1]CÓDIGO DE PONTOS'!$A$5:$B$998,2,0))</f>
        <v>#N/A</v>
      </c>
      <c r="G35" s="285"/>
      <c r="H35" s="286"/>
      <c r="I35" s="122">
        <v>6</v>
      </c>
    </row>
    <row r="36" spans="1:9" ht="15" x14ac:dyDescent="0.25">
      <c r="A36" s="114">
        <v>291237</v>
      </c>
      <c r="B36" s="115" t="e">
        <f>IF(A36=0,"",VLOOKUP(A36,'[1]CÓDIGO DE PONTOS'!$A$5:$D$998,4,0))</f>
        <v>#N/A</v>
      </c>
      <c r="C36" s="116" t="e">
        <f t="shared" si="2"/>
        <v>#N/A</v>
      </c>
      <c r="D36" s="117" t="e">
        <f>IF(A36=0,"",VLOOKUP(A36,'[1]CÓDIGO DE PONTOS'!$A$5:$C$998,3,0))</f>
        <v>#N/A</v>
      </c>
      <c r="E36" s="115">
        <f t="shared" si="1"/>
        <v>6</v>
      </c>
      <c r="F36" s="284" t="e">
        <f>IF(A36=0,"",VLOOKUP(A36,'[1]CÓDIGO DE PONTOS'!$A$5:$B$998,2,0))</f>
        <v>#N/A</v>
      </c>
      <c r="G36" s="285"/>
      <c r="H36" s="286"/>
      <c r="I36" s="122">
        <v>6</v>
      </c>
    </row>
    <row r="37" spans="1:9" ht="15" x14ac:dyDescent="0.25">
      <c r="A37" s="114">
        <v>290858</v>
      </c>
      <c r="B37" s="115" t="e">
        <f>IF(A37=0,"",VLOOKUP(A37,'[1]CÓDIGO DE PONTOS'!$A$5:$D$998,4,0))</f>
        <v>#N/A</v>
      </c>
      <c r="C37" s="116" t="e">
        <f t="shared" si="2"/>
        <v>#N/A</v>
      </c>
      <c r="D37" s="117" t="e">
        <f>IF(A37=0,"",VLOOKUP(A37,'[1]CÓDIGO DE PONTOS'!$A$5:$C$998,3,0))</f>
        <v>#N/A</v>
      </c>
      <c r="E37" s="115">
        <f t="shared" ref="E37:E54" si="3">I37</f>
        <v>0</v>
      </c>
      <c r="F37" s="284" t="e">
        <f>IF(A37=0,"",VLOOKUP(A37,'[1]CÓDIGO DE PONTOS'!$A$5:$B$998,2,0))</f>
        <v>#N/A</v>
      </c>
      <c r="G37" s="285"/>
      <c r="H37" s="286"/>
      <c r="I37" s="122"/>
    </row>
    <row r="38" spans="1:9" ht="15" x14ac:dyDescent="0.25">
      <c r="A38" s="114">
        <v>291245</v>
      </c>
      <c r="B38" s="115" t="e">
        <f>IF(A38=0,"",VLOOKUP(A38,'[1]CÓDIGO DE PONTOS'!$A$5:$D$998,4,0))</f>
        <v>#N/A</v>
      </c>
      <c r="C38" s="116" t="e">
        <f t="shared" si="2"/>
        <v>#N/A</v>
      </c>
      <c r="D38" s="117" t="e">
        <f>IF(A38=0,"",VLOOKUP(A38,'[1]CÓDIGO DE PONTOS'!$A$5:$C$998,3,0))</f>
        <v>#N/A</v>
      </c>
      <c r="E38" s="115">
        <f t="shared" si="3"/>
        <v>3</v>
      </c>
      <c r="F38" s="284" t="e">
        <f>IF(A38=0,"",VLOOKUP(A38,'[1]CÓDIGO DE PONTOS'!$A$5:$B$998,2,0))</f>
        <v>#N/A</v>
      </c>
      <c r="G38" s="285"/>
      <c r="H38" s="286"/>
      <c r="I38" s="122">
        <v>3</v>
      </c>
    </row>
    <row r="39" spans="1:9" ht="15" x14ac:dyDescent="0.25">
      <c r="A39" s="114">
        <v>291196</v>
      </c>
      <c r="B39" s="115" t="e">
        <f>IF(A39=0,"",VLOOKUP(A39,'[1]CÓDIGO DE PONTOS'!$A$5:$D$998,4,0))</f>
        <v>#N/A</v>
      </c>
      <c r="C39" s="116" t="e">
        <f t="shared" si="2"/>
        <v>#N/A</v>
      </c>
      <c r="D39" s="117" t="e">
        <f>IF(A39=0,"",VLOOKUP(A39,'[1]CÓDIGO DE PONTOS'!$A$5:$C$998,3,0))</f>
        <v>#N/A</v>
      </c>
      <c r="E39" s="115">
        <f t="shared" si="3"/>
        <v>0</v>
      </c>
      <c r="F39" s="284" t="e">
        <f>IF(A39=0,"",VLOOKUP(A39,'[1]CÓDIGO DE PONTOS'!$A$5:$B$998,2,0))</f>
        <v>#N/A</v>
      </c>
      <c r="G39" s="285"/>
      <c r="H39" s="286"/>
      <c r="I39" s="122"/>
    </row>
    <row r="40" spans="1:9" ht="15" x14ac:dyDescent="0.25">
      <c r="A40" s="114">
        <v>290831</v>
      </c>
      <c r="B40" s="115" t="e">
        <f>IF(A40=0,"",VLOOKUP(A40,'[1]CÓDIGO DE PONTOS'!$A$5:$D$998,4,0))</f>
        <v>#N/A</v>
      </c>
      <c r="C40" s="116" t="e">
        <f t="shared" si="2"/>
        <v>#N/A</v>
      </c>
      <c r="D40" s="117" t="e">
        <f>IF(A40=0,"",VLOOKUP(A40,'[1]CÓDIGO DE PONTOS'!$A$5:$C$998,3,0))</f>
        <v>#N/A</v>
      </c>
      <c r="E40" s="115">
        <f t="shared" si="3"/>
        <v>18</v>
      </c>
      <c r="F40" s="284" t="e">
        <f>IF(A40=0,"",VLOOKUP(A40,'[1]CÓDIGO DE PONTOS'!$A$5:$B$998,2,0))</f>
        <v>#N/A</v>
      </c>
      <c r="G40" s="285"/>
      <c r="H40" s="286"/>
      <c r="I40" s="122">
        <v>18</v>
      </c>
    </row>
    <row r="41" spans="1:9" ht="15" x14ac:dyDescent="0.25">
      <c r="A41" s="114">
        <v>221759</v>
      </c>
      <c r="B41" s="115" t="e">
        <f>IF(A41=0,"",VLOOKUP(A41,'[1]CÓDIGO DE PONTOS'!$A$5:$D$998,4,0))</f>
        <v>#N/A</v>
      </c>
      <c r="C41" s="116" t="e">
        <f t="shared" si="2"/>
        <v>#N/A</v>
      </c>
      <c r="D41" s="117" t="e">
        <f>IF(A41=0,"",VLOOKUP(A41,'[1]CÓDIGO DE PONTOS'!$A$5:$C$998,3,0))</f>
        <v>#N/A</v>
      </c>
      <c r="E41" s="115">
        <f t="shared" si="3"/>
        <v>0</v>
      </c>
      <c r="F41" s="284" t="e">
        <f>IF(A41=0,"",VLOOKUP(A41,'[1]CÓDIGO DE PONTOS'!$A$5:$B$998,2,0))</f>
        <v>#N/A</v>
      </c>
      <c r="G41" s="285"/>
      <c r="H41" s="286"/>
      <c r="I41" s="122"/>
    </row>
    <row r="42" spans="1:9" ht="15" x14ac:dyDescent="0.25">
      <c r="A42" s="114">
        <v>223590</v>
      </c>
      <c r="B42" s="115" t="e">
        <f>IF(A42=0,"",VLOOKUP(A42,'[1]CÓDIGO DE PONTOS'!$A$5:$D$998,4,0))</f>
        <v>#N/A</v>
      </c>
      <c r="C42" s="116" t="e">
        <f t="shared" si="2"/>
        <v>#N/A</v>
      </c>
      <c r="D42" s="117" t="e">
        <f>IF(A42=0,"",VLOOKUP(A42,'[1]CÓDIGO DE PONTOS'!$A$5:$C$998,3,0))</f>
        <v>#N/A</v>
      </c>
      <c r="E42" s="115">
        <f t="shared" si="3"/>
        <v>0</v>
      </c>
      <c r="F42" s="284" t="e">
        <f>IF(A42=0,"",VLOOKUP(A42,'[1]CÓDIGO DE PONTOS'!$A$5:$B$998,2,0))</f>
        <v>#N/A</v>
      </c>
      <c r="G42" s="285"/>
      <c r="H42" s="286"/>
      <c r="I42" s="122"/>
    </row>
    <row r="43" spans="1:9" ht="15" x14ac:dyDescent="0.25">
      <c r="A43" s="114">
        <v>290688</v>
      </c>
      <c r="B43" s="115" t="e">
        <f>IF(A43=0,"",VLOOKUP(A43,'[1]CÓDIGO DE PONTOS'!$A$5:$D$998,4,0))</f>
        <v>#N/A</v>
      </c>
      <c r="C43" s="116" t="e">
        <f t="shared" si="2"/>
        <v>#N/A</v>
      </c>
      <c r="D43" s="117" t="e">
        <f>IF(A43=0,"",VLOOKUP(A43,'[1]CÓDIGO DE PONTOS'!$A$5:$C$998,3,0))</f>
        <v>#N/A</v>
      </c>
      <c r="E43" s="115">
        <f t="shared" si="3"/>
        <v>0</v>
      </c>
      <c r="F43" s="284" t="e">
        <f>IF(A43=0,"",VLOOKUP(A43,'[1]CÓDIGO DE PONTOS'!$A$5:$B$998,2,0))</f>
        <v>#N/A</v>
      </c>
      <c r="G43" s="285"/>
      <c r="H43" s="286"/>
      <c r="I43" s="122"/>
    </row>
    <row r="44" spans="1:9" ht="15" x14ac:dyDescent="0.25">
      <c r="A44" s="114">
        <v>520668</v>
      </c>
      <c r="B44" s="115" t="e">
        <f>IF(A44=0,"",VLOOKUP(A44,'[1]CÓDIGO DE PONTOS'!$A$5:$D$998,4,0))</f>
        <v>#N/A</v>
      </c>
      <c r="C44" s="123" t="e">
        <f t="shared" si="2"/>
        <v>#N/A</v>
      </c>
      <c r="D44" s="117" t="e">
        <f>IF(A44=0,"",VLOOKUP(A44,'[1]CÓDIGO DE PONTOS'!$A$5:$C$998,3,0))</f>
        <v>#N/A</v>
      </c>
      <c r="E44" s="115">
        <f t="shared" si="3"/>
        <v>0</v>
      </c>
      <c r="F44" s="284" t="e">
        <f>IF(A44=0,"",VLOOKUP(A44,'[1]CÓDIGO DE PONTOS'!$A$5:$B$998,2,0))</f>
        <v>#N/A</v>
      </c>
      <c r="G44" s="285"/>
      <c r="H44" s="286"/>
      <c r="I44" s="122"/>
    </row>
    <row r="45" spans="1:9" ht="15" x14ac:dyDescent="0.25">
      <c r="A45" s="114">
        <v>520447</v>
      </c>
      <c r="B45" s="115" t="e">
        <f>IF(A45=0,"",VLOOKUP(A45,'[1]CÓDIGO DE PONTOS'!$A$5:$D$998,4,0))</f>
        <v>#N/A</v>
      </c>
      <c r="C45" s="123" t="e">
        <f t="shared" si="2"/>
        <v>#N/A</v>
      </c>
      <c r="D45" s="117" t="e">
        <f>IF(A45=0,"",VLOOKUP(A45,'[1]CÓDIGO DE PONTOS'!$A$5:$C$998,3,0))</f>
        <v>#N/A</v>
      </c>
      <c r="E45" s="115">
        <f t="shared" si="3"/>
        <v>0</v>
      </c>
      <c r="F45" s="284" t="e">
        <f>IF(A45=0,"",VLOOKUP(A45,'[1]CÓDIGO DE PONTOS'!$A$5:$B$998,2,0))</f>
        <v>#N/A</v>
      </c>
      <c r="G45" s="285"/>
      <c r="H45" s="286"/>
      <c r="I45" s="122"/>
    </row>
    <row r="46" spans="1:9" ht="15" x14ac:dyDescent="0.25">
      <c r="A46" s="114">
        <v>520454</v>
      </c>
      <c r="B46" s="115" t="e">
        <f>IF(A46=0,"",VLOOKUP(A46,'[1]CÓDIGO DE PONTOS'!$A$5:$D$998,4,0))</f>
        <v>#N/A</v>
      </c>
      <c r="C46" s="124" t="e">
        <f t="shared" si="2"/>
        <v>#N/A</v>
      </c>
      <c r="D46" s="117" t="e">
        <f>IF(A46=0,"",VLOOKUP(A46,'[1]CÓDIGO DE PONTOS'!$A$5:$C$998,3,0))</f>
        <v>#N/A</v>
      </c>
      <c r="E46" s="115">
        <f t="shared" si="3"/>
        <v>0</v>
      </c>
      <c r="F46" s="284" t="e">
        <f>IF(A46=0,"",VLOOKUP(A46,'[1]CÓDIGO DE PONTOS'!$A$5:$B$998,2,0))</f>
        <v>#N/A</v>
      </c>
      <c r="G46" s="285"/>
      <c r="H46" s="286"/>
      <c r="I46" s="122"/>
    </row>
    <row r="47" spans="1:9" ht="15" x14ac:dyDescent="0.25">
      <c r="A47" s="114">
        <v>290689</v>
      </c>
      <c r="B47" s="115" t="e">
        <f>IF(A47=0,"",VLOOKUP(A47,'[1]CÓDIGO DE PONTOS'!$A$5:$D$998,4,0))</f>
        <v>#N/A</v>
      </c>
      <c r="C47" s="124" t="e">
        <f t="shared" si="2"/>
        <v>#N/A</v>
      </c>
      <c r="D47" s="117" t="e">
        <f>IF(A47=0,"",VLOOKUP(A47,'[1]CÓDIGO DE PONTOS'!$A$5:$C$998,3,0))</f>
        <v>#N/A</v>
      </c>
      <c r="E47" s="115">
        <f t="shared" si="3"/>
        <v>0</v>
      </c>
      <c r="F47" s="284" t="e">
        <f>IF(A47=0,"",VLOOKUP(A47,'[1]CÓDIGO DE PONTOS'!$A$5:$B$998,2,0))</f>
        <v>#N/A</v>
      </c>
      <c r="G47" s="285"/>
      <c r="H47" s="286"/>
      <c r="I47" s="122"/>
    </row>
    <row r="48" spans="1:9" ht="15" x14ac:dyDescent="0.25">
      <c r="A48" s="114">
        <v>290882</v>
      </c>
      <c r="B48" s="115" t="e">
        <f>IF(A48=0,"",VLOOKUP(A48,'[1]CÓDIGO DE PONTOS'!$A$5:$D$998,4,0))</f>
        <v>#N/A</v>
      </c>
      <c r="C48" s="124" t="e">
        <f t="shared" si="2"/>
        <v>#N/A</v>
      </c>
      <c r="D48" s="117" t="e">
        <f>IF(A48=0,"",VLOOKUP(A48,'[1]CÓDIGO DE PONTOS'!$A$5:$C$998,3,0))</f>
        <v>#N/A</v>
      </c>
      <c r="E48" s="115">
        <f t="shared" si="3"/>
        <v>0</v>
      </c>
      <c r="F48" s="284" t="e">
        <f>IF(A48=0,"",VLOOKUP(A48,'[1]CÓDIGO DE PONTOS'!$A$5:$B$998,2,0))</f>
        <v>#N/A</v>
      </c>
      <c r="G48" s="285"/>
      <c r="H48" s="286"/>
      <c r="I48" s="122"/>
    </row>
    <row r="49" spans="1:9" ht="15" x14ac:dyDescent="0.25">
      <c r="A49" s="114">
        <v>291220</v>
      </c>
      <c r="B49" s="115" t="e">
        <f>IF(A49=0,"",VLOOKUP(A49,'[1]CÓDIGO DE PONTOS'!$A$5:$D$998,4,0))</f>
        <v>#N/A</v>
      </c>
      <c r="C49" s="124" t="e">
        <f t="shared" si="2"/>
        <v>#N/A</v>
      </c>
      <c r="D49" s="117" t="e">
        <f>IF(A49=0,"",VLOOKUP(A49,'[1]CÓDIGO DE PONTOS'!$A$5:$C$998,3,0))</f>
        <v>#N/A</v>
      </c>
      <c r="E49" s="115">
        <f t="shared" si="3"/>
        <v>0</v>
      </c>
      <c r="F49" s="284" t="e">
        <f>IF(A49=0,"",VLOOKUP(A49,'[1]CÓDIGO DE PONTOS'!$A$5:$B$998,2,0))</f>
        <v>#N/A</v>
      </c>
      <c r="G49" s="285"/>
      <c r="H49" s="286"/>
      <c r="I49" s="122"/>
    </row>
    <row r="50" spans="1:9" ht="15" x14ac:dyDescent="0.25">
      <c r="A50" s="114">
        <v>291367</v>
      </c>
      <c r="B50" s="115" t="e">
        <f>IF(A50=0,"",VLOOKUP(A50,'[1]CÓDIGO DE PONTOS'!$A$5:$D$998,4,0))</f>
        <v>#N/A</v>
      </c>
      <c r="C50" s="124" t="e">
        <f t="shared" si="2"/>
        <v>#N/A</v>
      </c>
      <c r="D50" s="117" t="e">
        <f>IF(A50=0,"",VLOOKUP(A50,'[1]CÓDIGO DE PONTOS'!$A$5:$C$998,3,0))</f>
        <v>#N/A</v>
      </c>
      <c r="E50" s="115">
        <f t="shared" si="3"/>
        <v>0</v>
      </c>
      <c r="F50" s="284" t="e">
        <f>IF(A50=0,"",VLOOKUP(A50,'[1]CÓDIGO DE PONTOS'!$A$5:$B$998,2,0))</f>
        <v>#N/A</v>
      </c>
      <c r="G50" s="285"/>
      <c r="H50" s="286"/>
      <c r="I50" s="122"/>
    </row>
    <row r="51" spans="1:9" ht="15" x14ac:dyDescent="0.25">
      <c r="A51" s="114">
        <v>291340</v>
      </c>
      <c r="B51" s="115" t="e">
        <f>IF(A51=0,"",VLOOKUP(A51,'[1]CÓDIGO DE PONTOS'!$A$5:$D$998,4,0))</f>
        <v>#N/A</v>
      </c>
      <c r="C51" s="124" t="e">
        <f t="shared" si="2"/>
        <v>#N/A</v>
      </c>
      <c r="D51" s="117" t="e">
        <f>IF(A51=0,"",VLOOKUP(A51,'[1]CÓDIGO DE PONTOS'!$A$5:$C$998,3,0))</f>
        <v>#N/A</v>
      </c>
      <c r="E51" s="115">
        <f t="shared" si="3"/>
        <v>0</v>
      </c>
      <c r="F51" s="284" t="e">
        <f>IF(A51=0,"",VLOOKUP(A51,'[1]CÓDIGO DE PONTOS'!$A$5:$B$998,2,0))</f>
        <v>#N/A</v>
      </c>
      <c r="G51" s="285"/>
      <c r="H51" s="286"/>
      <c r="I51" s="122"/>
    </row>
    <row r="52" spans="1:9" ht="15" x14ac:dyDescent="0.25">
      <c r="A52" s="114">
        <v>520650</v>
      </c>
      <c r="B52" s="115" t="e">
        <f>IF(A52=0,"",VLOOKUP(A52,'[1]CÓDIGO DE PONTOS'!$A$5:$D$998,4,0))</f>
        <v>#N/A</v>
      </c>
      <c r="C52" s="124" t="e">
        <f t="shared" si="2"/>
        <v>#N/A</v>
      </c>
      <c r="D52" s="117" t="e">
        <f>IF(A52=0,"",VLOOKUP(A52,'[1]CÓDIGO DE PONTOS'!$A$5:$C$998,3,0))</f>
        <v>#N/A</v>
      </c>
      <c r="E52" s="115">
        <f t="shared" si="3"/>
        <v>0</v>
      </c>
      <c r="F52" s="284" t="e">
        <f>IF(A52=0,"",VLOOKUP(A52,'[1]CÓDIGO DE PONTOS'!$A$5:$B$998,2,0))</f>
        <v>#N/A</v>
      </c>
      <c r="G52" s="285"/>
      <c r="H52" s="286"/>
      <c r="I52" s="122"/>
    </row>
    <row r="53" spans="1:9" ht="15" x14ac:dyDescent="0.25">
      <c r="A53" s="114">
        <v>520411</v>
      </c>
      <c r="B53" s="115" t="e">
        <f>IF(A53=0,"",VLOOKUP(A53,'[1]CÓDIGO DE PONTOS'!$A$5:$D$998,4,0))</f>
        <v>#N/A</v>
      </c>
      <c r="C53" s="124" t="e">
        <f t="shared" si="2"/>
        <v>#N/A</v>
      </c>
      <c r="D53" s="117" t="e">
        <f>IF(A53=0,"",VLOOKUP(A53,'[1]CÓDIGO DE PONTOS'!$A$5:$C$998,3,0))</f>
        <v>#N/A</v>
      </c>
      <c r="E53" s="115">
        <f t="shared" si="3"/>
        <v>0</v>
      </c>
      <c r="F53" s="284" t="e">
        <f>IF(A53=0,"",VLOOKUP(A53,'[1]CÓDIGO DE PONTOS'!$A$5:$B$998,2,0))</f>
        <v>#N/A</v>
      </c>
      <c r="G53" s="285"/>
      <c r="H53" s="286"/>
      <c r="I53" s="122"/>
    </row>
    <row r="54" spans="1:9" ht="15" x14ac:dyDescent="0.25">
      <c r="A54" s="114"/>
      <c r="B54" s="115" t="str">
        <f>IF(A54=0,"",VLOOKUP(A54,'[1]CÓDIGO DE PONTOS'!$A$5:$D$998,4,0))</f>
        <v/>
      </c>
      <c r="C54" s="124" t="e">
        <f t="shared" si="2"/>
        <v>#VALUE!</v>
      </c>
      <c r="D54" s="117" t="str">
        <f>IF(A54=0,"",VLOOKUP(A54,'[1]CÓDIGO DE PONTOS'!$A$5:$C$998,3,0))</f>
        <v/>
      </c>
      <c r="E54" s="115">
        <f t="shared" si="3"/>
        <v>0</v>
      </c>
      <c r="F54" s="284" t="str">
        <f>IF(A54=0,"",VLOOKUP(A54,'[1]CÓDIGO DE PONTOS'!$A$5:$B$998,2,0))</f>
        <v/>
      </c>
      <c r="G54" s="285"/>
      <c r="H54" s="286"/>
      <c r="I54" s="122"/>
    </row>
  </sheetData>
  <mergeCells count="55">
    <mergeCell ref="F54:H54"/>
    <mergeCell ref="F16:H16"/>
    <mergeCell ref="G2:I2"/>
    <mergeCell ref="F6:H6"/>
    <mergeCell ref="F19:H19"/>
    <mergeCell ref="F10:H10"/>
    <mergeCell ref="F40:H40"/>
    <mergeCell ref="F12:H12"/>
    <mergeCell ref="F7:H7"/>
    <mergeCell ref="F21:H21"/>
    <mergeCell ref="F24:H24"/>
    <mergeCell ref="F51:H51"/>
    <mergeCell ref="F53:H53"/>
    <mergeCell ref="F29:H29"/>
    <mergeCell ref="F11:H11"/>
    <mergeCell ref="F25:H25"/>
    <mergeCell ref="A1:F2"/>
    <mergeCell ref="F30:H30"/>
    <mergeCell ref="F43:H43"/>
    <mergeCell ref="F52:H52"/>
    <mergeCell ref="F9:H9"/>
    <mergeCell ref="F48:H48"/>
    <mergeCell ref="F15:H15"/>
    <mergeCell ref="F39:H39"/>
    <mergeCell ref="F37:H37"/>
    <mergeCell ref="G1:I1"/>
    <mergeCell ref="A3:B3"/>
    <mergeCell ref="F14:H14"/>
    <mergeCell ref="F49:H49"/>
    <mergeCell ref="F4:H4"/>
    <mergeCell ref="F44:H44"/>
    <mergeCell ref="F45:H45"/>
    <mergeCell ref="F5:H5"/>
    <mergeCell ref="F41:H41"/>
    <mergeCell ref="F35:H35"/>
    <mergeCell ref="F50:H50"/>
    <mergeCell ref="F32:H32"/>
    <mergeCell ref="F26:H26"/>
    <mergeCell ref="F8:H8"/>
    <mergeCell ref="F17:H17"/>
    <mergeCell ref="F47:H47"/>
    <mergeCell ref="F23:H23"/>
    <mergeCell ref="F38:H38"/>
    <mergeCell ref="F46:H46"/>
    <mergeCell ref="F28:H28"/>
    <mergeCell ref="F22:H22"/>
    <mergeCell ref="F13:H13"/>
    <mergeCell ref="F20:H20"/>
    <mergeCell ref="F42:H42"/>
    <mergeCell ref="F36:H36"/>
    <mergeCell ref="F18:H18"/>
    <mergeCell ref="F33:H33"/>
    <mergeCell ref="F31:H31"/>
    <mergeCell ref="F27:H27"/>
    <mergeCell ref="F34:H34"/>
  </mergeCells>
  <conditionalFormatting sqref="A1:A39 A41:A54">
    <cfRule type="duplicateValues" dxfId="1" priority="2"/>
  </conditionalFormatting>
  <conditionalFormatting sqref="A40">
    <cfRule type="duplicateValues" dxfId="0" priority="1"/>
  </conditionalFormatting>
  <pageMargins left="0.511811024" right="0.511811024" top="0.78740157500000008" bottom="0.78740157500000008" header="0.31496062000000014" footer="0.31496062000000014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S18" sqref="S18"/>
    </sheetView>
  </sheetViews>
  <sheetFormatPr defaultColWidth="9.140625" defaultRowHeight="15" x14ac:dyDescent="0.25"/>
  <cols>
    <col min="1" max="8" width="11.42578125" style="126" customWidth="1"/>
    <col min="9" max="9" width="9.140625" style="125" customWidth="1"/>
    <col min="10" max="16384" width="9.140625" style="125"/>
  </cols>
  <sheetData>
    <row r="1" spans="1:8" x14ac:dyDescent="0.25">
      <c r="A1" s="292" t="s">
        <v>104</v>
      </c>
      <c r="B1" s="293"/>
      <c r="C1" s="293"/>
      <c r="D1" s="293"/>
      <c r="E1" s="293"/>
      <c r="F1" s="293"/>
      <c r="G1" s="293"/>
      <c r="H1" s="294"/>
    </row>
    <row r="2" spans="1:8" x14ac:dyDescent="0.25">
      <c r="A2" s="295"/>
      <c r="B2" s="296"/>
      <c r="C2" s="296"/>
      <c r="D2" s="296"/>
      <c r="E2" s="296"/>
      <c r="F2" s="296"/>
      <c r="G2" s="296"/>
      <c r="H2" s="297"/>
    </row>
    <row r="3" spans="1:8" ht="15.75" customHeight="1" x14ac:dyDescent="0.25">
      <c r="A3" s="298"/>
      <c r="B3" s="299"/>
      <c r="C3" s="299"/>
      <c r="D3" s="299"/>
      <c r="E3" s="299"/>
      <c r="F3" s="299"/>
      <c r="G3" s="299"/>
      <c r="H3" s="269"/>
    </row>
    <row r="4" spans="1:8" x14ac:dyDescent="0.25">
      <c r="A4" s="127" t="s">
        <v>105</v>
      </c>
      <c r="B4" s="127" t="s">
        <v>106</v>
      </c>
      <c r="C4" s="128" t="s">
        <v>101</v>
      </c>
      <c r="D4" s="301" t="s">
        <v>107</v>
      </c>
      <c r="E4" s="299"/>
      <c r="F4" s="269"/>
      <c r="G4" s="128" t="s">
        <v>108</v>
      </c>
      <c r="H4" s="128" t="s">
        <v>109</v>
      </c>
    </row>
    <row r="5" spans="1:8" x14ac:dyDescent="0.25">
      <c r="A5" s="129"/>
      <c r="B5" s="130" t="s">
        <v>110</v>
      </c>
      <c r="C5" s="131"/>
      <c r="D5" s="302" t="s">
        <v>111</v>
      </c>
      <c r="E5" s="303"/>
      <c r="F5" s="304"/>
      <c r="G5" s="132"/>
      <c r="H5" s="133"/>
    </row>
    <row r="6" spans="1:8" x14ac:dyDescent="0.25">
      <c r="A6" s="129"/>
      <c r="B6" s="130" t="s">
        <v>112</v>
      </c>
      <c r="C6" s="131"/>
      <c r="D6" s="302" t="s">
        <v>113</v>
      </c>
      <c r="E6" s="303"/>
      <c r="F6" s="304"/>
      <c r="G6" s="134"/>
      <c r="H6" s="134"/>
    </row>
    <row r="7" spans="1:8" x14ac:dyDescent="0.25">
      <c r="A7" s="129"/>
      <c r="B7" s="130" t="s">
        <v>114</v>
      </c>
      <c r="C7" s="131"/>
      <c r="D7" s="302" t="s">
        <v>115</v>
      </c>
      <c r="E7" s="303"/>
      <c r="F7" s="304"/>
      <c r="G7" s="134"/>
      <c r="H7" s="134"/>
    </row>
    <row r="8" spans="1:8" x14ac:dyDescent="0.25">
      <c r="A8" s="129"/>
      <c r="B8" s="130" t="s">
        <v>116</v>
      </c>
      <c r="C8" s="131"/>
      <c r="D8" s="302" t="s">
        <v>117</v>
      </c>
      <c r="E8" s="303"/>
      <c r="F8" s="304"/>
      <c r="G8" s="134"/>
      <c r="H8" s="134"/>
    </row>
    <row r="9" spans="1:8" x14ac:dyDescent="0.25">
      <c r="A9" s="129"/>
      <c r="B9" s="130" t="s">
        <v>118</v>
      </c>
      <c r="C9" s="131"/>
      <c r="D9" s="302" t="s">
        <v>119</v>
      </c>
      <c r="E9" s="303"/>
      <c r="F9" s="304"/>
      <c r="G9" s="134"/>
      <c r="H9" s="134"/>
    </row>
    <row r="10" spans="1:8" x14ac:dyDescent="0.25">
      <c r="A10" s="129"/>
      <c r="B10" s="130" t="s">
        <v>120</v>
      </c>
      <c r="C10" s="131"/>
      <c r="D10" s="302" t="s">
        <v>121</v>
      </c>
      <c r="E10" s="303"/>
      <c r="F10" s="304"/>
      <c r="G10" s="134"/>
      <c r="H10" s="134"/>
    </row>
    <row r="11" spans="1:8" x14ac:dyDescent="0.25">
      <c r="A11" s="129">
        <v>1137.03</v>
      </c>
      <c r="B11" s="130" t="s">
        <v>122</v>
      </c>
      <c r="C11" s="131">
        <v>3</v>
      </c>
      <c r="D11" s="302" t="s">
        <v>123</v>
      </c>
      <c r="E11" s="303"/>
      <c r="F11" s="304"/>
      <c r="G11" s="134">
        <v>3</v>
      </c>
      <c r="H11" s="134"/>
    </row>
    <row r="12" spans="1:8" x14ac:dyDescent="0.25">
      <c r="A12" s="129"/>
      <c r="B12" s="135" t="s">
        <v>124</v>
      </c>
      <c r="C12" s="131"/>
      <c r="D12" s="302" t="s">
        <v>125</v>
      </c>
      <c r="E12" s="303"/>
      <c r="F12" s="304"/>
      <c r="G12" s="134"/>
      <c r="H12" s="134"/>
    </row>
    <row r="13" spans="1:8" x14ac:dyDescent="0.25">
      <c r="A13" s="129"/>
      <c r="B13" s="135" t="s">
        <v>126</v>
      </c>
      <c r="C13" s="131"/>
      <c r="D13" s="300" t="s">
        <v>127</v>
      </c>
      <c r="E13" s="285"/>
      <c r="F13" s="286"/>
      <c r="G13" s="134"/>
      <c r="H13" s="134"/>
    </row>
    <row r="14" spans="1:8" x14ac:dyDescent="0.25">
      <c r="A14" s="129"/>
      <c r="B14" s="135" t="s">
        <v>128</v>
      </c>
      <c r="C14" s="131"/>
      <c r="D14" s="300" t="s">
        <v>129</v>
      </c>
      <c r="E14" s="285"/>
      <c r="F14" s="286"/>
      <c r="G14" s="134"/>
      <c r="H14" s="134"/>
    </row>
    <row r="15" spans="1:8" x14ac:dyDescent="0.25">
      <c r="A15" s="129"/>
      <c r="B15" s="135" t="s">
        <v>130</v>
      </c>
      <c r="C15" s="131"/>
      <c r="D15" s="300" t="s">
        <v>131</v>
      </c>
      <c r="E15" s="285"/>
      <c r="F15" s="286"/>
      <c r="G15" s="134"/>
      <c r="H15" s="134"/>
    </row>
    <row r="16" spans="1:8" x14ac:dyDescent="0.25">
      <c r="A16" s="129"/>
      <c r="B16" s="130" t="s">
        <v>132</v>
      </c>
      <c r="C16" s="131"/>
      <c r="D16" s="300" t="s">
        <v>133</v>
      </c>
      <c r="E16" s="285"/>
      <c r="F16" s="286"/>
      <c r="G16" s="134"/>
      <c r="H16" s="134"/>
    </row>
    <row r="17" spans="1:8" x14ac:dyDescent="0.25">
      <c r="A17" s="129"/>
      <c r="B17" s="130" t="s">
        <v>134</v>
      </c>
      <c r="C17" s="131"/>
      <c r="D17" s="300" t="s">
        <v>135</v>
      </c>
      <c r="E17" s="285"/>
      <c r="F17" s="286"/>
      <c r="G17" s="134"/>
      <c r="H17" s="134"/>
    </row>
    <row r="18" spans="1:8" x14ac:dyDescent="0.25">
      <c r="A18" s="129"/>
      <c r="B18" s="130" t="s">
        <v>136</v>
      </c>
      <c r="C18" s="131"/>
      <c r="D18" s="300" t="s">
        <v>137</v>
      </c>
      <c r="E18" s="285"/>
      <c r="F18" s="286"/>
      <c r="G18" s="134"/>
      <c r="H18" s="134"/>
    </row>
    <row r="19" spans="1:8" x14ac:dyDescent="0.25">
      <c r="A19" s="129"/>
      <c r="B19" s="135" t="s">
        <v>138</v>
      </c>
      <c r="C19" s="131"/>
      <c r="D19" s="300" t="s">
        <v>139</v>
      </c>
      <c r="E19" s="285"/>
      <c r="F19" s="286"/>
      <c r="G19" s="134"/>
      <c r="H19" s="134"/>
    </row>
    <row r="20" spans="1:8" x14ac:dyDescent="0.25">
      <c r="A20" s="129"/>
      <c r="B20" s="135" t="s">
        <v>140</v>
      </c>
      <c r="C20" s="131"/>
      <c r="D20" s="300" t="s">
        <v>141</v>
      </c>
      <c r="E20" s="285"/>
      <c r="F20" s="286"/>
      <c r="G20" s="134"/>
      <c r="H20" s="136"/>
    </row>
    <row r="21" spans="1:8" x14ac:dyDescent="0.25">
      <c r="A21" s="137"/>
      <c r="B21" s="138"/>
      <c r="C21" s="131"/>
      <c r="D21" s="139"/>
      <c r="E21" s="140"/>
      <c r="F21" s="141"/>
      <c r="G21" s="134"/>
      <c r="H21" s="136"/>
    </row>
    <row r="22" spans="1:8" x14ac:dyDescent="0.25">
      <c r="A22" s="137"/>
      <c r="B22" s="138"/>
      <c r="C22" s="131"/>
      <c r="D22" s="139"/>
      <c r="E22" s="140"/>
      <c r="F22" s="141"/>
      <c r="G22" s="134"/>
      <c r="H22" s="136"/>
    </row>
    <row r="23" spans="1:8" x14ac:dyDescent="0.25">
      <c r="A23" s="137"/>
      <c r="B23" s="138"/>
      <c r="C23" s="131"/>
      <c r="D23" s="139"/>
      <c r="E23" s="140"/>
      <c r="F23" s="141"/>
      <c r="G23" s="134"/>
      <c r="H23" s="136"/>
    </row>
    <row r="24" spans="1:8" x14ac:dyDescent="0.25">
      <c r="A24" s="137"/>
      <c r="B24" s="138"/>
      <c r="C24" s="131"/>
      <c r="D24" s="139"/>
      <c r="E24" s="140"/>
      <c r="F24" s="141"/>
      <c r="G24" s="134"/>
      <c r="H24" s="136"/>
    </row>
    <row r="25" spans="1:8" x14ac:dyDescent="0.25">
      <c r="A25" s="137"/>
      <c r="B25" s="138"/>
      <c r="C25" s="131"/>
      <c r="D25" s="139"/>
      <c r="E25" s="140"/>
      <c r="F25" s="141"/>
      <c r="G25" s="134"/>
      <c r="H25" s="136"/>
    </row>
    <row r="26" spans="1:8" x14ac:dyDescent="0.25">
      <c r="A26" s="137"/>
      <c r="B26" s="138"/>
      <c r="C26" s="131"/>
      <c r="D26" s="139"/>
      <c r="E26" s="140"/>
      <c r="F26" s="141"/>
      <c r="G26" s="134"/>
      <c r="H26" s="136"/>
    </row>
    <row r="27" spans="1:8" x14ac:dyDescent="0.25">
      <c r="A27" s="137"/>
      <c r="B27" s="138"/>
      <c r="C27" s="131"/>
      <c r="D27" s="139"/>
      <c r="E27" s="140"/>
      <c r="F27" s="141"/>
      <c r="G27" s="134"/>
      <c r="H27" s="136"/>
    </row>
    <row r="28" spans="1:8" x14ac:dyDescent="0.25">
      <c r="A28" s="129"/>
      <c r="B28" s="130"/>
      <c r="C28" s="131">
        <f t="shared" ref="C28:C30" si="0">G28</f>
        <v>0</v>
      </c>
      <c r="D28" s="300"/>
      <c r="E28" s="285"/>
      <c r="F28" s="286"/>
      <c r="G28" s="134"/>
      <c r="H28" s="136"/>
    </row>
    <row r="29" spans="1:8" x14ac:dyDescent="0.25">
      <c r="A29" s="129"/>
      <c r="B29" s="130"/>
      <c r="C29" s="131">
        <f t="shared" si="0"/>
        <v>0</v>
      </c>
      <c r="D29" s="300"/>
      <c r="E29" s="285"/>
      <c r="F29" s="286"/>
      <c r="G29" s="134"/>
      <c r="H29" s="136"/>
    </row>
    <row r="30" spans="1:8" x14ac:dyDescent="0.25">
      <c r="A30" s="129"/>
      <c r="B30" s="130"/>
      <c r="C30" s="131">
        <f t="shared" si="0"/>
        <v>0</v>
      </c>
      <c r="D30" s="302" t="str">
        <f>IF($N30="","",VLOOKUP(B30,[1]NET!$C$2:$E$512,2,FALSE))</f>
        <v/>
      </c>
      <c r="E30" s="303"/>
      <c r="F30" s="304"/>
      <c r="G30" s="134"/>
      <c r="H30" s="142"/>
    </row>
  </sheetData>
  <mergeCells count="21">
    <mergeCell ref="D30:F30"/>
    <mergeCell ref="D8:F8"/>
    <mergeCell ref="D15:F15"/>
    <mergeCell ref="D14:F14"/>
    <mergeCell ref="D29:F29"/>
    <mergeCell ref="D20:F20"/>
    <mergeCell ref="D10:F10"/>
    <mergeCell ref="D19:F19"/>
    <mergeCell ref="A1:H3"/>
    <mergeCell ref="D28:F28"/>
    <mergeCell ref="D4:F4"/>
    <mergeCell ref="D18:F18"/>
    <mergeCell ref="D12:F12"/>
    <mergeCell ref="D9:F9"/>
    <mergeCell ref="D5:F5"/>
    <mergeCell ref="D6:F6"/>
    <mergeCell ref="D13:F13"/>
    <mergeCell ref="D11:F11"/>
    <mergeCell ref="D17:F17"/>
    <mergeCell ref="D7:F7"/>
    <mergeCell ref="D16:F16"/>
  </mergeCells>
  <pageMargins left="0.511811024" right="0.511811024" top="0.78740157500000008" bottom="0.78740157500000008" header="0.31496062000000014" footer="0.3149606200000001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CROQUI MODERNIZAÇÃO</vt:lpstr>
      <vt:lpstr>CAPA</vt:lpstr>
      <vt:lpstr>RELATORIO MEDIÇÃO</vt:lpstr>
      <vt:lpstr>RELATORIO DE MATERIAS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Estevão</dc:creator>
  <cp:lastModifiedBy>WALLACE BARUEL DOS SANTOS CONCI</cp:lastModifiedBy>
  <cp:revision>5</cp:revision>
  <dcterms:created xsi:type="dcterms:W3CDTF">2016-11-01T13:58:54Z</dcterms:created>
  <dcterms:modified xsi:type="dcterms:W3CDTF">2026-06-27T00:39:27Z</dcterms:modified>
</cp:coreProperties>
</file>